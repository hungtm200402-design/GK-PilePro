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VL500" sheetId="1" state="visible" r:id="rId1"/>
  </sheets>
  <definedNames>
    <definedName name="_xlnm._FilterDatabase" localSheetId="0" hidden="1">'VL500'!$A$6:$R$59</definedName>
    <definedName name="_xlnm.Print_Titles" localSheetId="0">'VL500'!$4:$6</definedName>
    <definedName name="_xlnm.Print_Area" localSheetId="0">'VL500'!$A$1:$R$65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_(* #,##0_);_(* \(#,##0\);_(* &quot;-&quot;??_);_(@_)"/>
    <numFmt numFmtId="166" formatCode="_-* #,##0.00\ _₫_-;\-* #,##0.00\ _₫_-;_-* &quot;-&quot;??\ _₫_-;_-@_-"/>
    <numFmt numFmtId="167" formatCode="_-* #,##0.00_-;\-* #,##0.00_-;_-* &quot;-&quot;??_-;_-@_-"/>
  </numFmts>
  <fonts count="20">
    <font>
      <name val="Calibri"/>
      <sz val="11"/>
    </font>
    <font>
      <name val="Times New Roman"/>
      <family val="1"/>
      <b val="1"/>
      <sz val="12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sz val="10"/>
    </font>
    <font>
      <name val="Times New Roman"/>
      <family val="1"/>
      <color indexed="10"/>
      <sz val="10"/>
    </font>
    <font>
      <name val="Times New Roman"/>
      <family val="1"/>
      <b val="1"/>
      <sz val="24"/>
    </font>
    <font>
      <name val="Times New Roman"/>
      <family val="1"/>
      <b val="1"/>
      <color rgb="FF8396B0"/>
      <sz val="12"/>
    </font>
    <font>
      <name val="Times New Roman"/>
      <family val="1"/>
      <sz val="13"/>
    </font>
    <font>
      <name val="Times New Roman"/>
      <family val="1"/>
      <color indexed="10"/>
      <sz val="12"/>
    </font>
    <font>
      <name val="Times New Roman"/>
      <family val="1"/>
      <b val="1"/>
      <sz val="13"/>
    </font>
    <font>
      <name val="Times New Roman"/>
      <family val="1"/>
      <color rgb="FF8396B0"/>
      <sz val="12"/>
    </font>
    <font>
      <name val="Times New Roman"/>
      <family val="1"/>
      <color rgb="FF00B050"/>
      <sz val="12"/>
    </font>
    <font>
      <name val="Times New Roman"/>
      <family val="1"/>
      <b val="1"/>
      <color indexed="10"/>
      <sz val="12"/>
    </font>
    <font>
      <name val="Arial"/>
      <family val="2"/>
      <sz val="10"/>
    </font>
    <font>
      <name val="宋体"/>
      <sz val="12"/>
    </font>
    <font>
      <name val="Calibri"/>
      <family val="2"/>
      <color rgb="FF000000"/>
      <sz val="11"/>
    </font>
    <font>
      <name val="Arial"/>
      <family val="2"/>
      <color indexed="8"/>
      <sz val="11"/>
    </font>
    <font>
      <name val="Calibri"/>
      <family val="2"/>
      <color indexed="8"/>
      <sz val="11"/>
    </font>
    <font>
      <name val="Times New Roman"/>
      <family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 applyAlignment="1">
      <alignment vertical="center"/>
    </xf>
    <xf numFmtId="0" fontId="14" fillId="0" borderId="0" applyProtection="1">
      <protection locked="0" hidden="0"/>
    </xf>
    <xf numFmtId="0" fontId="15" fillId="0" borderId="0" applyProtection="1">
      <protection locked="0" hidden="0"/>
    </xf>
    <xf numFmtId="166" fontId="16" fillId="0" borderId="0" applyProtection="1">
      <protection locked="0" hidden="0"/>
    </xf>
    <xf numFmtId="0" fontId="17" fillId="0" borderId="0" applyProtection="1">
      <protection locked="0" hidden="0"/>
    </xf>
    <xf numFmtId="167" fontId="18" fillId="0" borderId="0" applyProtection="1">
      <protection locked="0" hidden="0"/>
    </xf>
  </cellStyleXfs>
  <cellXfs count="56">
    <xf numFmtId="0" fontId="0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3" fillId="2" borderId="1" applyAlignment="1" pivotButton="0" quotePrefix="0" xfId="2">
      <alignment horizontal="center" vertical="center"/>
    </xf>
    <xf numFmtId="14" fontId="3" fillId="2" borderId="1" applyAlignment="1" pivotButton="0" quotePrefix="1" xfId="0">
      <alignment horizontal="center" vertical="center"/>
    </xf>
    <xf numFmtId="3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1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164" fontId="8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left" indent="1"/>
    </xf>
    <xf numFmtId="1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left" indent="1"/>
    </xf>
    <xf numFmtId="0" fontId="12" fillId="2" borderId="0" applyAlignment="1" pivotButton="0" quotePrefix="0" xfId="0">
      <alignment horizontal="left" indent="1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  <xf numFmtId="0" fontId="3" fillId="2" borderId="0" pivotButton="0" quotePrefix="0" xfId="0"/>
    <xf numFmtId="0" fontId="3" fillId="3" borderId="1" applyAlignment="1" pivotButton="0" quotePrefix="0" xfId="2">
      <alignment horizontal="center" vertical="center"/>
    </xf>
    <xf numFmtId="14" fontId="3" fillId="3" borderId="1" applyAlignment="1" pivotButton="0" quotePrefix="1" xfId="0">
      <alignment horizontal="center" vertical="center"/>
    </xf>
    <xf numFmtId="3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19" fillId="3" borderId="1" applyAlignment="1" pivotButton="0" quotePrefix="0" xfId="2">
      <alignment horizontal="center" vertical="center"/>
    </xf>
    <xf numFmtId="14" fontId="19" fillId="3" borderId="1" applyAlignment="1" pivotButton="0" quotePrefix="1" xfId="0">
      <alignment horizontal="center" vertical="center"/>
    </xf>
    <xf numFmtId="3" fontId="19" fillId="3" borderId="1" applyAlignment="1" pivotButton="0" quotePrefix="0" xfId="0">
      <alignment horizontal="center" wrapText="1"/>
    </xf>
    <xf numFmtId="0" fontId="19" fillId="3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 indent="1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49" fontId="3" fillId="2" borderId="1" applyAlignment="1" pivotButton="0" quotePrefix="1" xfId="0">
      <alignment horizontal="center" vertical="center"/>
    </xf>
    <xf numFmtId="11" fontId="3" fillId="2" borderId="1" applyAlignment="1" pivotButton="0" quotePrefix="0" xfId="0">
      <alignment horizontal="center" vertical="center"/>
    </xf>
    <xf numFmtId="0" fontId="0" fillId="0" borderId="0" pivotButton="0" quotePrefix="0" xfId="0"/>
    <xf numFmtId="164" fontId="8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13" fillId="2" borderId="0" applyAlignment="1" pivotButton="0" quotePrefix="0" xfId="3">
      <alignment horizontal="left" indent="1"/>
    </xf>
    <xf numFmtId="165" fontId="1" fillId="2" borderId="0" applyAlignment="1" pivotButton="0" quotePrefix="0" xfId="3">
      <alignment horizontal="left" indent="1"/>
    </xf>
  </cellXfs>
  <cellStyles count="6">
    <cellStyle name="Normal" xfId="0" builtinId="0"/>
    <cellStyle name="Normal 2" xfId="1"/>
    <cellStyle name="Normal 8" xfId="2"/>
    <cellStyle name="Comma" xfId="3" builtinId="3"/>
    <cellStyle name="Normal 2 2" xfId="4"/>
    <cellStyle name="Comma 10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T145"/>
  <sheetViews>
    <sheetView showGridLines="0" tabSelected="1" zoomScale="96" zoomScaleNormal="96" workbookViewId="0">
      <pane xSplit="2" ySplit="6" topLeftCell="C37" activePane="bottomRight" state="frozen"/>
      <selection pane="topRight" activeCell="A1" sqref="A1"/>
      <selection pane="bottomLeft" activeCell="A1" sqref="A1"/>
      <selection pane="bottomRight" activeCell="S57" sqref="S57"/>
    </sheetView>
  </sheetViews>
  <sheetFormatPr baseColWidth="8" defaultColWidth="16" defaultRowHeight="12.75"/>
  <cols>
    <col width="11.5703125" customWidth="1" style="43" min="1" max="1"/>
    <col width="13.140625" customWidth="1" style="43" min="2" max="2"/>
    <col width="35.42578125" customWidth="1" style="43" min="3" max="3"/>
    <col width="9.7109375" customWidth="1" style="43" min="4" max="14"/>
    <col width="8.140625" customWidth="1" style="44" min="15" max="15"/>
    <col width="15" customWidth="1" style="43" min="16" max="16"/>
    <col width="12.7109375" customWidth="1" style="43" min="17" max="17"/>
    <col width="18.42578125" customWidth="1" style="45" min="18" max="18"/>
    <col width="16" customWidth="1" style="43" min="19" max="19"/>
    <col width="16" customWidth="1" style="43" min="20" max="16384"/>
  </cols>
  <sheetData>
    <row r="1">
      <c r="A1" s="42" t="inlineStr">
        <is>
          <t>BẢNG THỐNG KÊ KHỐI LƯỢNG CỌC D300 NHẬP VỀ</t>
        </is>
      </c>
    </row>
    <row r="2"/>
    <row r="3"/>
    <row r="4" ht="23.25" customHeight="1" s="51">
      <c r="A4" s="46" t="inlineStr">
        <is>
          <t>STT</t>
        </is>
      </c>
      <c r="B4" s="46" t="inlineStr">
        <is>
          <t>Ngày xuất</t>
        </is>
      </c>
      <c r="C4" s="37" t="inlineStr">
        <is>
          <t>Số phiếu</t>
        </is>
      </c>
      <c r="D4" s="37" t="inlineStr">
        <is>
          <t>Chủng loại PHC</t>
        </is>
      </c>
      <c r="E4" s="40" t="n"/>
      <c r="F4" s="40" t="n"/>
      <c r="G4" s="40" t="n"/>
      <c r="H4" s="40" t="n"/>
      <c r="I4" s="40" t="n"/>
      <c r="J4" s="40" t="n"/>
      <c r="K4" s="40" t="n"/>
      <c r="L4" s="40" t="n"/>
      <c r="M4" s="40" t="n"/>
      <c r="N4" s="41" t="n"/>
      <c r="O4" s="37" t="inlineStr">
        <is>
          <t>Mũi D300</t>
        </is>
      </c>
      <c r="P4" s="37" t="inlineStr">
        <is>
          <t>Xe vận chuyển</t>
        </is>
      </c>
      <c r="Q4" s="37" t="inlineStr">
        <is>
          <t>Tổng số m cọc D500</t>
        </is>
      </c>
      <c r="R4" s="46" t="inlineStr">
        <is>
          <t>Ghi chú</t>
        </is>
      </c>
      <c r="S4" s="37" t="inlineStr">
        <is>
          <t>Hợp đồng</t>
        </is>
      </c>
    </row>
    <row r="5" ht="25.9" customHeight="1" s="51">
      <c r="A5" s="38" t="n"/>
      <c r="B5" s="38" t="n"/>
      <c r="C5" s="38" t="n"/>
      <c r="D5" s="37" t="inlineStr">
        <is>
          <t>D500 - Độ dài</t>
        </is>
      </c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1" t="n"/>
      <c r="O5" s="38" t="n"/>
      <c r="P5" s="38" t="n"/>
      <c r="Q5" s="38" t="n"/>
      <c r="R5" s="38" t="n"/>
      <c r="S5" s="38" t="n"/>
    </row>
    <row r="6" ht="93.59999999999999" customHeight="1" s="51">
      <c r="A6" s="39" t="n"/>
      <c r="B6" s="39" t="n"/>
      <c r="C6" s="39" t="n"/>
      <c r="D6" s="4" t="n">
        <v>5</v>
      </c>
      <c r="E6" s="4" t="n">
        <v>6</v>
      </c>
      <c r="F6" s="4" t="n">
        <v>7</v>
      </c>
      <c r="G6" s="4" t="n">
        <v>8</v>
      </c>
      <c r="H6" s="4" t="n">
        <v>9</v>
      </c>
      <c r="I6" s="4" t="n">
        <v>10</v>
      </c>
      <c r="J6" s="4" t="n">
        <v>11</v>
      </c>
      <c r="K6" s="4" t="n">
        <v>12</v>
      </c>
      <c r="L6" s="4" t="n">
        <v>13</v>
      </c>
      <c r="M6" s="4" t="n">
        <v>14</v>
      </c>
      <c r="N6" s="4" t="n">
        <v>15</v>
      </c>
      <c r="O6" s="39" t="n"/>
      <c r="P6" s="39" t="n"/>
      <c r="Q6" s="39" t="n"/>
      <c r="R6" s="39" t="n"/>
      <c r="S6" s="39" t="n"/>
    </row>
    <row r="7" ht="17.1" customHeight="1" s="51">
      <c r="A7" s="5" t="n">
        <v>1</v>
      </c>
      <c r="B7" s="6" t="inlineStr">
        <is>
          <t>28/03/2026</t>
        </is>
      </c>
      <c r="C7" s="7" t="inlineStr">
        <is>
          <t>XC11312603280030</t>
        </is>
      </c>
      <c r="D7" s="8" t="n"/>
      <c r="E7" s="8" t="n"/>
      <c r="F7" s="8" t="n">
        <v>5</v>
      </c>
      <c r="G7" s="8" t="n"/>
      <c r="H7" s="8" t="n"/>
      <c r="I7" s="8" t="n"/>
      <c r="J7" s="8" t="n"/>
      <c r="K7" s="8" t="n"/>
      <c r="L7" s="8" t="n"/>
      <c r="M7" s="8" t="n">
        <v>5</v>
      </c>
      <c r="N7" s="8" t="n"/>
      <c r="O7" s="8" t="n"/>
      <c r="P7" s="8" t="inlineStr">
        <is>
          <t>15c16641</t>
        </is>
      </c>
      <c r="Q7" s="8">
        <f>D7*5+E7*6+F7*7+G7*8+H7*9+I7*10+J7*11+K7*12+L7*13+M7*14+N7*15</f>
        <v/>
      </c>
      <c r="R7" s="8" t="inlineStr">
        <is>
          <t>PHC500A</t>
        </is>
      </c>
      <c r="S7" s="34" t="n"/>
    </row>
    <row r="8" ht="17.1" customHeight="1" s="51">
      <c r="A8" s="5" t="n">
        <v>2</v>
      </c>
      <c r="B8" s="6" t="inlineStr">
        <is>
          <t>29/03/2026</t>
        </is>
      </c>
      <c r="C8" s="7" t="inlineStr">
        <is>
          <t>XC11312603290014</t>
        </is>
      </c>
      <c r="D8" s="8" t="n"/>
      <c r="E8" s="8" t="n"/>
      <c r="F8" s="8" t="n"/>
      <c r="G8" s="8" t="n"/>
      <c r="H8" s="8" t="n"/>
      <c r="I8" s="8" t="n"/>
      <c r="J8" s="8" t="n">
        <v>5</v>
      </c>
      <c r="K8" s="8" t="n">
        <v>9</v>
      </c>
      <c r="L8" s="8" t="n"/>
      <c r="M8" s="8" t="n"/>
      <c r="N8" s="8" t="n"/>
      <c r="O8" s="8" t="n">
        <v>10</v>
      </c>
      <c r="P8" s="8" t="inlineStr">
        <is>
          <t>15h03793</t>
        </is>
      </c>
      <c r="Q8" s="8">
        <f>D8*5+E8*6+F8*7+G8*8+H8*9+I8*10+J8*11+K8*12+L8*13+M8*14+N8*15</f>
        <v/>
      </c>
      <c r="R8" s="8" t="inlineStr">
        <is>
          <t>PHC500A</t>
        </is>
      </c>
      <c r="S8" s="34" t="n"/>
    </row>
    <row r="9" ht="17.1" customHeight="1" s="51">
      <c r="A9" s="25" t="n">
        <v>3</v>
      </c>
      <c r="B9" s="26" t="inlineStr">
        <is>
          <t>04/04/2026</t>
        </is>
      </c>
      <c r="C9" s="27" t="inlineStr">
        <is>
          <t>XC1131202503070024</t>
        </is>
      </c>
      <c r="D9" s="28" t="n"/>
      <c r="E9" s="28" t="n"/>
      <c r="F9" s="28" t="n"/>
      <c r="G9" s="28" t="n"/>
      <c r="H9" s="28" t="n"/>
      <c r="I9" s="28" t="n">
        <v>5</v>
      </c>
      <c r="J9" s="28" t="n"/>
      <c r="K9" s="28" t="n">
        <v>4</v>
      </c>
      <c r="L9" s="28" t="n">
        <v>5</v>
      </c>
      <c r="M9" s="28" t="n"/>
      <c r="N9" s="28" t="n"/>
      <c r="O9" s="28" t="n"/>
      <c r="P9" s="28" t="inlineStr">
        <is>
          <t>15c24482</t>
        </is>
      </c>
      <c r="Q9" s="28">
        <f>D9*5+E9*6+F9*7+G9*8+H9*9+I9*10+J9*11+K9*12+L9*13+M9*14+N9*15</f>
        <v/>
      </c>
      <c r="R9" s="28" t="inlineStr">
        <is>
          <t>PHC500B</t>
        </is>
      </c>
      <c r="S9" s="35" t="n"/>
    </row>
    <row r="10" ht="17.1" customHeight="1" s="51">
      <c r="A10" s="25" t="n">
        <v>4</v>
      </c>
      <c r="B10" s="26" t="inlineStr">
        <is>
          <t>07/04/2026</t>
        </is>
      </c>
      <c r="C10" s="27" t="inlineStr">
        <is>
          <t>XC11312604070015</t>
        </is>
      </c>
      <c r="D10" s="28" t="n"/>
      <c r="E10" s="28" t="n"/>
      <c r="F10" s="28" t="n"/>
      <c r="G10" s="28" t="n"/>
      <c r="H10" s="28" t="n"/>
      <c r="I10" s="28" t="n">
        <v>4</v>
      </c>
      <c r="J10" s="28" t="n"/>
      <c r="K10" s="28" t="n">
        <v>5</v>
      </c>
      <c r="L10" s="28" t="n">
        <v>5</v>
      </c>
      <c r="M10" s="28" t="n"/>
      <c r="N10" s="28" t="n"/>
      <c r="O10" s="28" t="n"/>
      <c r="P10" s="28" t="inlineStr">
        <is>
          <t>15c24482</t>
        </is>
      </c>
      <c r="Q10" s="28">
        <f>D10*5+E10*6+F10*7+G10*8+H10*9+I10*10+J10*11+K10*12+L10*13+M10*14+N10*15</f>
        <v/>
      </c>
      <c r="R10" s="28" t="inlineStr">
        <is>
          <t>PHC500B</t>
        </is>
      </c>
      <c r="S10" s="35" t="n"/>
    </row>
    <row r="11" ht="17.1" customHeight="1" s="51">
      <c r="A11" s="25" t="n">
        <v>5</v>
      </c>
      <c r="B11" s="26" t="inlineStr">
        <is>
          <t>07/04/2026</t>
        </is>
      </c>
      <c r="C11" s="27" t="inlineStr">
        <is>
          <t>XC11312604060063</t>
        </is>
      </c>
      <c r="D11" s="28" t="n"/>
      <c r="E11" s="28" t="n"/>
      <c r="F11" s="28" t="n"/>
      <c r="G11" s="28" t="n"/>
      <c r="H11" s="28" t="n"/>
      <c r="I11" s="28" t="n">
        <v>5</v>
      </c>
      <c r="J11" s="28" t="n"/>
      <c r="K11" s="28" t="n">
        <v>3</v>
      </c>
      <c r="L11" s="28" t="n">
        <v>5</v>
      </c>
      <c r="M11" s="28" t="n"/>
      <c r="N11" s="28" t="n"/>
      <c r="O11" s="28" t="n"/>
      <c r="P11" s="28" t="inlineStr">
        <is>
          <t>15e01877</t>
        </is>
      </c>
      <c r="Q11" s="28">
        <f>D11*5+E11*6+F11*7+G11*8+H11*9+I11*10+J11*11+K11*12+L11*13+M11*14+N11*15</f>
        <v/>
      </c>
      <c r="R11" s="28" t="inlineStr">
        <is>
          <t>PHC500B</t>
        </is>
      </c>
      <c r="S11" s="35" t="n"/>
    </row>
    <row r="12" ht="17.1" customHeight="1" s="51">
      <c r="A12" s="25" t="n">
        <v>6</v>
      </c>
      <c r="B12" s="26" t="inlineStr">
        <is>
          <t>08/04/2026</t>
        </is>
      </c>
      <c r="C12" s="27" t="inlineStr">
        <is>
          <t>XC11312604080016</t>
        </is>
      </c>
      <c r="D12" s="28" t="n"/>
      <c r="E12" s="28" t="n"/>
      <c r="F12" s="28" t="n"/>
      <c r="G12" s="28" t="n"/>
      <c r="H12" s="28" t="n"/>
      <c r="I12" s="28" t="n">
        <v>6</v>
      </c>
      <c r="J12" s="28" t="n">
        <v>2</v>
      </c>
      <c r="K12" s="28" t="n"/>
      <c r="L12" s="28" t="n">
        <v>4</v>
      </c>
      <c r="M12" s="28" t="n">
        <v>2</v>
      </c>
      <c r="N12" s="28" t="n"/>
      <c r="O12" s="28" t="n">
        <v>150</v>
      </c>
      <c r="P12" s="28" t="inlineStr">
        <is>
          <t>15f01437</t>
        </is>
      </c>
      <c r="Q12" s="28">
        <f>D12*5+E12*6+F12*7+G12*8+H12*9+I12*10+J12*11+K12*12+L12*13+M12*14+N12*15</f>
        <v/>
      </c>
      <c r="R12" s="28" t="inlineStr">
        <is>
          <t>PHC500B</t>
        </is>
      </c>
      <c r="S12" s="35" t="n"/>
    </row>
    <row r="13" ht="17.1" customHeight="1" s="51">
      <c r="A13" s="25" t="n">
        <v>7</v>
      </c>
      <c r="B13" s="26" t="inlineStr">
        <is>
          <t>09/04/2026</t>
        </is>
      </c>
      <c r="C13" s="27" t="inlineStr">
        <is>
          <t>XC11312604080078</t>
        </is>
      </c>
      <c r="D13" s="28" t="n"/>
      <c r="E13" s="28" t="n"/>
      <c r="F13" s="28" t="n"/>
      <c r="G13" s="28" t="n"/>
      <c r="H13" s="28" t="n"/>
      <c r="I13" s="28" t="n"/>
      <c r="J13" s="28" t="n">
        <v>14</v>
      </c>
      <c r="K13" s="28" t="n"/>
      <c r="L13" s="28" t="n"/>
      <c r="M13" s="28" t="n"/>
      <c r="N13" s="28" t="n"/>
      <c r="O13" s="28" t="n"/>
      <c r="P13" s="28" t="inlineStr">
        <is>
          <t>15h17849</t>
        </is>
      </c>
      <c r="Q13" s="28">
        <f>D13*5+E13*6+F13*7+G13*8+H13*9+I13*10+J13*11+K13*12+L13*13+M13*14+N13*15</f>
        <v/>
      </c>
      <c r="R13" s="28" t="inlineStr">
        <is>
          <t>PHC500B</t>
        </is>
      </c>
      <c r="S13" s="35" t="n"/>
    </row>
    <row r="14" ht="17.1" customHeight="1" s="51">
      <c r="A14" s="25" t="n">
        <v>8</v>
      </c>
      <c r="B14" s="26" t="inlineStr">
        <is>
          <t>09/04/2026</t>
        </is>
      </c>
      <c r="C14" s="27" t="inlineStr">
        <is>
          <t>XC11312604090031</t>
        </is>
      </c>
      <c r="D14" s="28" t="n"/>
      <c r="E14" s="28" t="n"/>
      <c r="F14" s="28" t="n"/>
      <c r="G14" s="28" t="n"/>
      <c r="H14" s="28" t="n"/>
      <c r="I14" s="28" t="n"/>
      <c r="J14" s="28" t="n"/>
      <c r="K14" s="28" t="n">
        <v>9</v>
      </c>
      <c r="L14" s="28" t="n">
        <v>5</v>
      </c>
      <c r="M14" s="28" t="n"/>
      <c r="N14" s="28" t="n"/>
      <c r="O14" s="28" t="n"/>
      <c r="P14" s="28" t="inlineStr">
        <is>
          <t>15c00137</t>
        </is>
      </c>
      <c r="Q14" s="28">
        <f>D14*5+E14*6+F14*7+G14*8+H14*9+I14*10+J14*11+K14*12+L14*13+M14*14+N14*15</f>
        <v/>
      </c>
      <c r="R14" s="28" t="inlineStr">
        <is>
          <t>PHC500B</t>
        </is>
      </c>
      <c r="S14" s="35" t="n"/>
    </row>
    <row r="15" ht="17.1" customHeight="1" s="51">
      <c r="A15" s="25" t="n">
        <v>9</v>
      </c>
      <c r="B15" s="26" t="inlineStr">
        <is>
          <t>09/04/2026</t>
        </is>
      </c>
      <c r="C15" s="27" t="inlineStr">
        <is>
          <t>XC11312604080016</t>
        </is>
      </c>
      <c r="D15" s="28" t="n"/>
      <c r="E15" s="28" t="n"/>
      <c r="F15" s="28" t="n"/>
      <c r="G15" s="28" t="n"/>
      <c r="H15" s="28" t="n"/>
      <c r="I15" s="28" t="n"/>
      <c r="J15" s="28" t="n">
        <v>11</v>
      </c>
      <c r="K15" s="28" t="n">
        <v>3</v>
      </c>
      <c r="L15" s="28" t="n"/>
      <c r="M15" s="28" t="n"/>
      <c r="N15" s="28" t="n"/>
      <c r="O15" s="28" t="n"/>
      <c r="P15" s="28" t="inlineStr">
        <is>
          <t>15h12275</t>
        </is>
      </c>
      <c r="Q15" s="28">
        <f>D15*5+E15*6+F15*7+G15*8+H15*9+I15*10+J15*11+K15*12+L15*13+M15*14+N15*15</f>
        <v/>
      </c>
      <c r="R15" s="28" t="inlineStr">
        <is>
          <t>PHC500B</t>
        </is>
      </c>
      <c r="S15" s="35" t="n"/>
    </row>
    <row r="16" ht="17.1" customHeight="1" s="51">
      <c r="A16" s="25" t="n">
        <v>10</v>
      </c>
      <c r="B16" s="26" t="inlineStr">
        <is>
          <t>12/04/2026</t>
        </is>
      </c>
      <c r="C16" s="27" t="inlineStr">
        <is>
          <t>XC11312604120043</t>
        </is>
      </c>
      <c r="D16" s="28" t="n"/>
      <c r="E16" s="28" t="n"/>
      <c r="F16" s="28" t="n"/>
      <c r="G16" s="28" t="n"/>
      <c r="H16" s="28" t="n"/>
      <c r="I16" s="28" t="n"/>
      <c r="J16" s="28" t="n">
        <v>2</v>
      </c>
      <c r="K16" s="28" t="n">
        <v>12</v>
      </c>
      <c r="L16" s="28" t="n"/>
      <c r="M16" s="28" t="n"/>
      <c r="N16" s="28" t="n"/>
      <c r="O16" s="28" t="n"/>
      <c r="P16" s="28" t="inlineStr">
        <is>
          <t>15c13023</t>
        </is>
      </c>
      <c r="Q16" s="28">
        <f>D16*5+E16*6+F16*7+G16*8+H16*9+I16*10+J16*11+K16*12+L16*13+M16*14+N16*15</f>
        <v/>
      </c>
      <c r="R16" s="28" t="inlineStr">
        <is>
          <t>PHC500B</t>
        </is>
      </c>
      <c r="S16" s="35" t="n"/>
    </row>
    <row r="17" ht="17.1" customHeight="1" s="51">
      <c r="A17" s="25" t="n">
        <v>11</v>
      </c>
      <c r="B17" s="26" t="inlineStr">
        <is>
          <t>12/04/2026</t>
        </is>
      </c>
      <c r="C17" s="27" t="inlineStr">
        <is>
          <t>XC11312604120047</t>
        </is>
      </c>
      <c r="D17" s="28" t="n"/>
      <c r="E17" s="28" t="n"/>
      <c r="F17" s="28" t="n"/>
      <c r="G17" s="28" t="n"/>
      <c r="H17" s="28" t="n"/>
      <c r="I17" s="28" t="n"/>
      <c r="J17" s="28" t="n">
        <v>7</v>
      </c>
      <c r="K17" s="28" t="n"/>
      <c r="L17" s="28" t="n">
        <v>7</v>
      </c>
      <c r="M17" s="28" t="n"/>
      <c r="N17" s="28" t="n"/>
      <c r="O17" s="28" t="n"/>
      <c r="P17" s="28" t="inlineStr">
        <is>
          <t>15h23634</t>
        </is>
      </c>
      <c r="Q17" s="28">
        <f>D17*5+E17*6+F17*7+G17*8+H17*9+I17*10+J17*11+K17*12+L17*13+M17*14+N17*15</f>
        <v/>
      </c>
      <c r="R17" s="28" t="inlineStr">
        <is>
          <t>PHC500B</t>
        </is>
      </c>
      <c r="S17" s="35" t="n"/>
    </row>
    <row r="18" ht="17.1" customHeight="1" s="51">
      <c r="A18" s="25" t="n">
        <v>12</v>
      </c>
      <c r="B18" s="26" t="inlineStr">
        <is>
          <t>13/04/2026</t>
        </is>
      </c>
      <c r="C18" s="27" t="inlineStr">
        <is>
          <t>XC11312604130001</t>
        </is>
      </c>
      <c r="D18" s="28" t="n"/>
      <c r="E18" s="28" t="n"/>
      <c r="F18" s="28" t="n"/>
      <c r="G18" s="28" t="n"/>
      <c r="H18" s="28" t="n"/>
      <c r="I18" s="28" t="n"/>
      <c r="J18" s="28" t="n"/>
      <c r="K18" s="28" t="n">
        <v>1</v>
      </c>
      <c r="L18" s="28" t="n">
        <v>13</v>
      </c>
      <c r="M18" s="28" t="n"/>
      <c r="N18" s="28" t="n"/>
      <c r="O18" s="28" t="n"/>
      <c r="P18" s="28" t="inlineStr">
        <is>
          <t>15h24501</t>
        </is>
      </c>
      <c r="Q18" s="28">
        <f>D18*5+E18*6+F18*7+G18*8+H18*9+I18*10+J18*11+K18*12+L18*13+M18*14+N18*15</f>
        <v/>
      </c>
      <c r="R18" s="28" t="inlineStr">
        <is>
          <t>PHC500B</t>
        </is>
      </c>
      <c r="S18" s="35" t="n"/>
    </row>
    <row r="19" ht="17.1" customHeight="1" s="51">
      <c r="A19" s="25" t="n">
        <v>13</v>
      </c>
      <c r="B19" s="26" t="inlineStr">
        <is>
          <t>14/04/2026</t>
        </is>
      </c>
      <c r="C19" s="27" t="inlineStr">
        <is>
          <t>XC11312604140041</t>
        </is>
      </c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>
        <v>8</v>
      </c>
      <c r="M19" s="28" t="n"/>
      <c r="N19" s="28" t="n"/>
      <c r="O19" s="28" t="n"/>
      <c r="P19" s="28" t="inlineStr">
        <is>
          <t>15c21165</t>
        </is>
      </c>
      <c r="Q19" s="28">
        <f>D19*5+E19*6+F19*7+G19*8+H19*9+I19*10+J19*11+K19*12+L19*13+M19*14+N19*15</f>
        <v/>
      </c>
      <c r="R19" s="28" t="inlineStr">
        <is>
          <t>PHC500B</t>
        </is>
      </c>
      <c r="S19" s="35" t="n"/>
    </row>
    <row r="20" ht="17.1" customHeight="1" s="51">
      <c r="A20" s="25" t="n">
        <v>14</v>
      </c>
      <c r="B20" s="26" t="inlineStr">
        <is>
          <t>14/04/2026</t>
        </is>
      </c>
      <c r="C20" s="27" t="inlineStr">
        <is>
          <t>XC11312604140038</t>
        </is>
      </c>
      <c r="D20" s="28" t="n"/>
      <c r="E20" s="28" t="n"/>
      <c r="F20" s="28" t="n"/>
      <c r="G20" s="28" t="n"/>
      <c r="H20" s="28" t="n"/>
      <c r="I20" s="28" t="n"/>
      <c r="J20" s="28" t="n"/>
      <c r="K20" s="28" t="n">
        <v>9</v>
      </c>
      <c r="L20" s="28" t="n"/>
      <c r="M20" s="28" t="n"/>
      <c r="N20" s="28" t="n"/>
      <c r="O20" s="28" t="n"/>
      <c r="P20" s="28" t="inlineStr">
        <is>
          <t>15c11482</t>
        </is>
      </c>
      <c r="Q20" s="28">
        <f>D20*5+E20*6+F20*7+G20*8+H20*9+I20*10+J20*11+K20*12+L20*13+M20*14+N20*15</f>
        <v/>
      </c>
      <c r="R20" s="28" t="inlineStr">
        <is>
          <t>PHC500B</t>
        </is>
      </c>
      <c r="S20" s="35" t="n"/>
    </row>
    <row r="21" ht="17.1" customHeight="1" s="51">
      <c r="A21" s="25" t="n">
        <v>15</v>
      </c>
      <c r="B21" s="26" t="inlineStr">
        <is>
          <t>14/04/2026</t>
        </is>
      </c>
      <c r="C21" s="27" t="inlineStr">
        <is>
          <t>XC11312604140037</t>
        </is>
      </c>
      <c r="D21" s="28" t="n"/>
      <c r="E21" s="28" t="n"/>
      <c r="F21" s="28" t="n"/>
      <c r="G21" s="28" t="n"/>
      <c r="H21" s="28" t="n"/>
      <c r="I21" s="28" t="n"/>
      <c r="J21" s="28" t="n">
        <v>3</v>
      </c>
      <c r="K21" s="28" t="n">
        <v>6</v>
      </c>
      <c r="L21" s="28" t="n"/>
      <c r="M21" s="28" t="n"/>
      <c r="N21" s="28" t="n"/>
      <c r="O21" s="28" t="n"/>
      <c r="P21" s="28" t="inlineStr">
        <is>
          <t>15c14319</t>
        </is>
      </c>
      <c r="Q21" s="28">
        <f>D21*5+E21*6+F21*7+G21*8+H21*9+I21*10+J21*11+K21*12+L21*13+M21*14+N21*15</f>
        <v/>
      </c>
      <c r="R21" s="28" t="inlineStr">
        <is>
          <t>PHC500B</t>
        </is>
      </c>
      <c r="S21" s="35" t="n"/>
    </row>
    <row r="22" ht="17.1" customHeight="1" s="51">
      <c r="A22" s="25" t="n">
        <v>16</v>
      </c>
      <c r="B22" s="26" t="inlineStr">
        <is>
          <t>15/04/2026</t>
        </is>
      </c>
      <c r="C22" s="27" t="inlineStr">
        <is>
          <t>XC11312604140048</t>
        </is>
      </c>
      <c r="D22" s="28" t="n"/>
      <c r="E22" s="28" t="n"/>
      <c r="F22" s="28" t="n"/>
      <c r="G22" s="28" t="n"/>
      <c r="H22" s="28" t="n"/>
      <c r="I22" s="28" t="n"/>
      <c r="J22" s="28" t="n"/>
      <c r="K22" s="28" t="n">
        <v>6</v>
      </c>
      <c r="L22" s="28" t="n">
        <v>2</v>
      </c>
      <c r="M22" s="28" t="n"/>
      <c r="N22" s="28" t="n"/>
      <c r="O22" s="28" t="n"/>
      <c r="P22" s="28" t="inlineStr">
        <is>
          <t>15h05822</t>
        </is>
      </c>
      <c r="Q22" s="28">
        <f>D22*5+E22*6+F22*7+G22*8+H22*9+I22*10+J22*11+K22*12+L22*13+M22*14+N22*15</f>
        <v/>
      </c>
      <c r="R22" s="28" t="inlineStr">
        <is>
          <t>PHC500B</t>
        </is>
      </c>
      <c r="S22" s="35" t="n"/>
    </row>
    <row r="23" ht="17.1" customHeight="1" s="51">
      <c r="A23" s="25" t="n">
        <v>17</v>
      </c>
      <c r="B23" s="26" t="inlineStr">
        <is>
          <t>15/04/2026</t>
        </is>
      </c>
      <c r="C23" s="27" t="inlineStr">
        <is>
          <t>XC11312604140054</t>
        </is>
      </c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>
        <v>8</v>
      </c>
      <c r="M23" s="28" t="n"/>
      <c r="N23" s="28" t="n"/>
      <c r="O23" s="28" t="n"/>
      <c r="P23" s="28" t="inlineStr">
        <is>
          <t>15h00381</t>
        </is>
      </c>
      <c r="Q23" s="28">
        <f>D23*5+E23*6+F23*7+G23*8+H23*9+I23*10+J23*11+K23*12+L23*13+M23*14+N23*15</f>
        <v/>
      </c>
      <c r="R23" s="28" t="inlineStr">
        <is>
          <t>PHC500B</t>
        </is>
      </c>
      <c r="S23" s="35" t="n"/>
    </row>
    <row r="24" ht="17.1" customHeight="1" s="51">
      <c r="A24" s="25" t="n">
        <v>18</v>
      </c>
      <c r="B24" s="26" t="inlineStr">
        <is>
          <t>15/04/2026</t>
        </is>
      </c>
      <c r="C24" s="27" t="inlineStr">
        <is>
          <t>XC11312604140050</t>
        </is>
      </c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>
        <v>6</v>
      </c>
      <c r="M24" s="28" t="n">
        <v>2</v>
      </c>
      <c r="N24" s="28" t="n"/>
      <c r="O24" s="28" t="n"/>
      <c r="P24" s="28" t="inlineStr">
        <is>
          <t>15h15121</t>
        </is>
      </c>
      <c r="Q24" s="28">
        <f>D24*5+E24*6+F24*7+G24*8+H24*9+I24*10+J24*11+K24*12+L24*13+M24*14+N24*15</f>
        <v/>
      </c>
      <c r="R24" s="28" t="inlineStr">
        <is>
          <t>PHC500B</t>
        </is>
      </c>
      <c r="S24" s="35" t="n"/>
    </row>
    <row r="25" ht="41.25" customHeight="1" s="51">
      <c r="A25" s="29" t="n">
        <v>19</v>
      </c>
      <c r="B25" s="30" t="inlineStr">
        <is>
          <t>15/04/2026</t>
        </is>
      </c>
      <c r="C25" s="31" t="inlineStr">
        <is>
          <t>XC11312604150050+51 2 PHIẾU GỘP</t>
        </is>
      </c>
      <c r="D25" s="32" t="n"/>
      <c r="E25" s="32" t="n"/>
      <c r="F25" s="32" t="n"/>
      <c r="G25" s="32" t="n"/>
      <c r="H25" s="32" t="n"/>
      <c r="I25" s="32" t="n">
        <v>3</v>
      </c>
      <c r="J25" s="32" t="n">
        <v>6</v>
      </c>
      <c r="K25" s="32" t="n">
        <v>2</v>
      </c>
      <c r="L25" s="32" t="n">
        <v>3</v>
      </c>
      <c r="M25" s="32" t="n"/>
      <c r="N25" s="32" t="n"/>
      <c r="O25" s="32" t="n"/>
      <c r="P25" s="32" t="inlineStr">
        <is>
          <t>15f01411</t>
        </is>
      </c>
      <c r="Q25" s="32">
        <f>D25*5+E25*6+F25*7+G25*8+H25*9+I25*10+J25*11+K25*12+L25*13+M25*14+N25*15</f>
        <v/>
      </c>
      <c r="R25" s="32" t="inlineStr">
        <is>
          <t>PHC500B</t>
        </is>
      </c>
      <c r="S25" s="36" t="n"/>
    </row>
    <row r="26" ht="17.1" customHeight="1" s="51">
      <c r="A26" s="25" t="n">
        <v>20</v>
      </c>
      <c r="B26" s="26" t="inlineStr">
        <is>
          <t>16/04/2026</t>
        </is>
      </c>
      <c r="C26" s="27" t="inlineStr">
        <is>
          <t>XC11312604150066</t>
        </is>
      </c>
      <c r="D26" s="28" t="n"/>
      <c r="E26" s="28" t="n"/>
      <c r="F26" s="28" t="n"/>
      <c r="G26" s="28" t="n"/>
      <c r="H26" s="28" t="n"/>
      <c r="I26" s="28" t="n"/>
      <c r="J26" s="28" t="n">
        <v>9</v>
      </c>
      <c r="K26" s="28" t="n">
        <v>5</v>
      </c>
      <c r="L26" s="28" t="n"/>
      <c r="M26" s="28" t="n"/>
      <c r="N26" s="28" t="n"/>
      <c r="O26" s="28" t="n"/>
      <c r="P26" s="28" t="inlineStr">
        <is>
          <t>15h17643</t>
        </is>
      </c>
      <c r="Q26" s="28">
        <f>D26*5+E26*6+F26*7+G26*8+H26*9+I26*10+J26*11+K26*12+L26*13+M26*14+N26*15</f>
        <v/>
      </c>
      <c r="R26" s="28" t="inlineStr">
        <is>
          <t>PHC500B</t>
        </is>
      </c>
      <c r="S26" s="35" t="n"/>
    </row>
    <row r="27" ht="17.1" customHeight="1" s="51">
      <c r="A27" s="25" t="n">
        <v>21</v>
      </c>
      <c r="B27" s="26" t="inlineStr">
        <is>
          <t>16/04/2026</t>
        </is>
      </c>
      <c r="C27" s="27" t="inlineStr">
        <is>
          <t>XC11312604160011</t>
        </is>
      </c>
      <c r="D27" s="28" t="n"/>
      <c r="E27" s="28" t="n"/>
      <c r="F27" s="28" t="n"/>
      <c r="G27" s="28" t="n"/>
      <c r="H27" s="28" t="n"/>
      <c r="I27" s="28" t="n"/>
      <c r="J27" s="28" t="n">
        <v>14</v>
      </c>
      <c r="K27" s="28" t="n"/>
      <c r="L27" s="28" t="n"/>
      <c r="M27" s="28" t="n"/>
      <c r="N27" s="28" t="n"/>
      <c r="O27" s="28" t="n"/>
      <c r="P27" s="28" t="inlineStr">
        <is>
          <t>15e01954</t>
        </is>
      </c>
      <c r="Q27" s="28">
        <f>D27*5+E27*6+F27*7+G27*8+H27*9+I27*10+J27*11+K27*12+L27*13+M27*14+N27*15</f>
        <v/>
      </c>
      <c r="R27" s="28" t="inlineStr">
        <is>
          <t>PHC500B</t>
        </is>
      </c>
      <c r="S27" s="35" t="n"/>
    </row>
    <row r="28" ht="17.1" customHeight="1" s="51">
      <c r="A28" s="25" t="n">
        <v>22</v>
      </c>
      <c r="B28" s="26" t="inlineStr">
        <is>
          <t>16/04/2026</t>
        </is>
      </c>
      <c r="C28" s="27" t="inlineStr">
        <is>
          <t>XC11312604150053</t>
        </is>
      </c>
      <c r="D28" s="28" t="n"/>
      <c r="E28" s="28" t="n"/>
      <c r="F28" s="28" t="n"/>
      <c r="G28" s="28" t="n"/>
      <c r="H28" s="28" t="n"/>
      <c r="I28" s="28" t="n">
        <v>4</v>
      </c>
      <c r="J28" s="28" t="n"/>
      <c r="K28" s="28" t="n">
        <v>8</v>
      </c>
      <c r="L28" s="28" t="n">
        <v>2</v>
      </c>
      <c r="M28" s="28" t="n"/>
      <c r="N28" s="28" t="n"/>
      <c r="O28" s="28" t="n"/>
      <c r="P28" s="28" t="inlineStr">
        <is>
          <t>15h16247</t>
        </is>
      </c>
      <c r="Q28" s="28">
        <f>D28*5+E28*6+F28*7+G28*8+H28*9+I28*10+J28*11+K28*12+L28*13+M28*14+N28*15</f>
        <v/>
      </c>
      <c r="R28" s="28" t="inlineStr">
        <is>
          <t>PHC500B</t>
        </is>
      </c>
      <c r="S28" s="35" t="n"/>
    </row>
    <row r="29" ht="17.1" customHeight="1" s="51">
      <c r="A29" s="25" t="n">
        <v>23</v>
      </c>
      <c r="B29" s="26" t="inlineStr">
        <is>
          <t>16/04/2026</t>
        </is>
      </c>
      <c r="C29" s="27" t="inlineStr">
        <is>
          <t>XC11312604150059</t>
        </is>
      </c>
      <c r="D29" s="28" t="n"/>
      <c r="E29" s="28" t="n"/>
      <c r="F29" s="28" t="n"/>
      <c r="G29" s="28" t="n"/>
      <c r="H29" s="28" t="n"/>
      <c r="I29" s="28" t="n"/>
      <c r="J29" s="28" t="n">
        <v>5</v>
      </c>
      <c r="K29" s="28" t="n">
        <v>7</v>
      </c>
      <c r="L29" s="28" t="n">
        <v>2</v>
      </c>
      <c r="M29" s="28" t="n"/>
      <c r="N29" s="28" t="n"/>
      <c r="O29" s="28" t="n"/>
      <c r="P29" s="28" t="inlineStr">
        <is>
          <t>15c13023</t>
        </is>
      </c>
      <c r="Q29" s="28">
        <f>D29*5+E29*6+F29*7+G29*8+H29*9+I29*10+J29*11+K29*12+L29*13+M29*14+N29*15</f>
        <v/>
      </c>
      <c r="R29" s="28" t="inlineStr">
        <is>
          <t>PHC500B</t>
        </is>
      </c>
      <c r="S29" s="35" t="inlineStr">
        <is>
          <t>p</t>
        </is>
      </c>
    </row>
    <row r="30" ht="17.1" customHeight="1" s="51">
      <c r="A30" s="25" t="n">
        <v>24</v>
      </c>
      <c r="B30" s="26" t="inlineStr">
        <is>
          <t>16/04/2026</t>
        </is>
      </c>
      <c r="C30" s="27" t="inlineStr">
        <is>
          <t>XC11312604150058</t>
        </is>
      </c>
      <c r="D30" s="28" t="n"/>
      <c r="E30" s="28" t="n"/>
      <c r="F30" s="28" t="n"/>
      <c r="G30" s="28" t="n"/>
      <c r="H30" s="28" t="n"/>
      <c r="I30" s="28" t="n">
        <v>9</v>
      </c>
      <c r="J30" s="28" t="n">
        <v>5</v>
      </c>
      <c r="K30" s="28" t="n"/>
      <c r="L30" s="28" t="n"/>
      <c r="M30" s="28" t="n"/>
      <c r="N30" s="28" t="n"/>
      <c r="O30" s="28" t="n"/>
      <c r="P30" s="28" t="inlineStr">
        <is>
          <t>15h18845</t>
        </is>
      </c>
      <c r="Q30" s="28">
        <f>D30*5+E30*6+F30*7+G30*8+H30*9+I30*10+J30*11+K30*12+L30*13+M30*14+N30*15</f>
        <v/>
      </c>
      <c r="R30" s="28" t="inlineStr">
        <is>
          <t>PHC500B</t>
        </is>
      </c>
      <c r="S30" s="35" t="n"/>
    </row>
    <row r="31" ht="17.1" customHeight="1" s="51">
      <c r="A31" s="25" t="n">
        <v>25</v>
      </c>
      <c r="B31" s="26" t="inlineStr">
        <is>
          <t>16/04/2026</t>
        </is>
      </c>
      <c r="C31" s="27" t="inlineStr">
        <is>
          <t>XC11312604160035</t>
        </is>
      </c>
      <c r="D31" s="28" t="n"/>
      <c r="E31" s="28" t="n"/>
      <c r="F31" s="28" t="n"/>
      <c r="G31" s="28" t="n"/>
      <c r="H31" s="28" t="n"/>
      <c r="I31" s="28" t="n">
        <v>14</v>
      </c>
      <c r="J31" s="28" t="n"/>
      <c r="K31" s="28" t="n"/>
      <c r="L31" s="28" t="n"/>
      <c r="M31" s="28" t="n"/>
      <c r="N31" s="28" t="n"/>
      <c r="O31" s="28" t="n"/>
      <c r="P31" s="28" t="inlineStr">
        <is>
          <t>15c24538</t>
        </is>
      </c>
      <c r="Q31" s="28">
        <f>D31*5+E31*6+F31*7+G31*8+H31*9+I31*10+J31*11+K31*12+L31*13+M31*14+N31*15</f>
        <v/>
      </c>
      <c r="R31" s="28" t="inlineStr">
        <is>
          <t>PHC500B</t>
        </is>
      </c>
      <c r="S31" s="35" t="n"/>
    </row>
    <row r="32" ht="17.1" customHeight="1" s="51">
      <c r="A32" s="25" t="n">
        <v>26</v>
      </c>
      <c r="B32" s="26" t="inlineStr">
        <is>
          <t>16/04/2026</t>
        </is>
      </c>
      <c r="C32" s="27" t="inlineStr">
        <is>
          <t>XC11312604160058</t>
        </is>
      </c>
      <c r="D32" s="28" t="n"/>
      <c r="E32" s="28" t="n"/>
      <c r="F32" s="28" t="n"/>
      <c r="G32" s="28" t="n"/>
      <c r="H32" s="28" t="n">
        <v>10</v>
      </c>
      <c r="I32" s="28" t="n">
        <v>4</v>
      </c>
      <c r="J32" s="28" t="n"/>
      <c r="K32" s="28" t="n"/>
      <c r="L32" s="28" t="n"/>
      <c r="M32" s="28" t="n"/>
      <c r="N32" s="28" t="n"/>
      <c r="O32" s="28" t="n"/>
      <c r="P32" s="28" t="inlineStr">
        <is>
          <t>15h11397</t>
        </is>
      </c>
      <c r="Q32" s="28">
        <f>D32*5+E32*6+F32*7+G32*8+H32*9+I32*10+J32*11+K32*12+L32*13+M32*14+N32*15</f>
        <v/>
      </c>
      <c r="R32" s="28" t="inlineStr">
        <is>
          <t>PHC500B</t>
        </is>
      </c>
      <c r="S32" s="35" t="n"/>
    </row>
    <row r="33" ht="17.1" customHeight="1" s="51">
      <c r="A33" s="25" t="n">
        <v>27</v>
      </c>
      <c r="B33" s="26" t="inlineStr">
        <is>
          <t>16/04/2026</t>
        </is>
      </c>
      <c r="C33" s="27" t="inlineStr">
        <is>
          <t>XC11312604160055</t>
        </is>
      </c>
      <c r="D33" s="28" t="n"/>
      <c r="E33" s="28" t="n"/>
      <c r="F33" s="28" t="n"/>
      <c r="G33" s="28" t="n"/>
      <c r="H33" s="28" t="n"/>
      <c r="I33" s="28" t="n"/>
      <c r="J33" s="28" t="n">
        <v>14</v>
      </c>
      <c r="K33" s="28" t="n"/>
      <c r="L33" s="28" t="n"/>
      <c r="M33" s="28" t="n"/>
      <c r="N33" s="28" t="n"/>
      <c r="O33" s="28" t="n"/>
      <c r="P33" s="28" t="inlineStr">
        <is>
          <t>15h04159</t>
        </is>
      </c>
      <c r="Q33" s="28">
        <f>D33*5+E33*6+F33*7+G33*8+H33*9+I33*10+J33*11+K33*12+L33*13+M33*14+N33*15</f>
        <v/>
      </c>
      <c r="R33" s="28" t="inlineStr">
        <is>
          <t>PHC500B</t>
        </is>
      </c>
      <c r="S33" s="35" t="n"/>
    </row>
    <row r="34" ht="17.1" customHeight="1" s="51">
      <c r="A34" s="25" t="n">
        <v>28</v>
      </c>
      <c r="B34" s="26" t="inlineStr">
        <is>
          <t>16/04/2026</t>
        </is>
      </c>
      <c r="C34" s="27" t="inlineStr">
        <is>
          <t>XC11312604160054</t>
        </is>
      </c>
      <c r="D34" s="28" t="n"/>
      <c r="E34" s="28" t="n"/>
      <c r="F34" s="28" t="n"/>
      <c r="G34" s="28" t="n"/>
      <c r="H34" s="28" t="n"/>
      <c r="I34" s="28" t="n">
        <v>12</v>
      </c>
      <c r="J34" s="28" t="n">
        <v>2</v>
      </c>
      <c r="K34" s="28" t="n"/>
      <c r="L34" s="28" t="n"/>
      <c r="M34" s="28" t="n"/>
      <c r="N34" s="28" t="n"/>
      <c r="O34" s="28" t="n"/>
      <c r="P34" s="28" t="inlineStr">
        <is>
          <t>15h03968</t>
        </is>
      </c>
      <c r="Q34" s="28">
        <f>D34*5+E34*6+F34*7+G34*8+H34*9+I34*10+J34*11+K34*12+L34*13+M34*14+N34*15</f>
        <v/>
      </c>
      <c r="R34" s="28" t="inlineStr">
        <is>
          <t>PHC500B</t>
        </is>
      </c>
      <c r="S34" s="35" t="n"/>
    </row>
    <row r="35" ht="17.1" customHeight="1" s="51">
      <c r="A35" s="25" t="n">
        <v>29</v>
      </c>
      <c r="B35" s="26" t="inlineStr">
        <is>
          <t>16/04/2026</t>
        </is>
      </c>
      <c r="C35" s="27" t="inlineStr">
        <is>
          <t>XC11312604160065</t>
        </is>
      </c>
      <c r="D35" s="28" t="n"/>
      <c r="E35" s="28" t="n"/>
      <c r="F35" s="28" t="n"/>
      <c r="G35" s="28" t="n"/>
      <c r="H35" s="28" t="n"/>
      <c r="I35" s="28" t="n"/>
      <c r="J35" s="28" t="n">
        <v>4</v>
      </c>
      <c r="K35" s="28" t="n">
        <v>10</v>
      </c>
      <c r="L35" s="28" t="n"/>
      <c r="M35" s="28" t="n"/>
      <c r="N35" s="28" t="n"/>
      <c r="O35" s="28" t="n"/>
      <c r="P35" s="28" t="inlineStr">
        <is>
          <t>15e01598</t>
        </is>
      </c>
      <c r="Q35" s="28">
        <f>D35*5+E35*6+F35*7+G35*8+H35*9+I35*10+J35*11+K35*12+L35*13+M35*14+N35*15</f>
        <v/>
      </c>
      <c r="R35" s="28" t="inlineStr">
        <is>
          <t>PHC500B</t>
        </is>
      </c>
      <c r="S35" s="35" t="n"/>
      <c r="T35" s="43" t="n">
        <v>0</v>
      </c>
    </row>
    <row r="36" ht="17.1" customHeight="1" s="51">
      <c r="A36" s="25" t="n">
        <v>30</v>
      </c>
      <c r="B36" s="26" t="inlineStr">
        <is>
          <t>16/04/2026</t>
        </is>
      </c>
      <c r="C36" s="27" t="inlineStr">
        <is>
          <t>XC11312604160066</t>
        </is>
      </c>
      <c r="D36" s="28" t="n"/>
      <c r="E36" s="28" t="n"/>
      <c r="F36" s="28" t="n"/>
      <c r="G36" s="28" t="n"/>
      <c r="H36" s="28" t="n"/>
      <c r="I36" s="28" t="n"/>
      <c r="J36" s="28" t="n"/>
      <c r="K36" s="28" t="n">
        <v>2</v>
      </c>
      <c r="L36" s="28" t="n">
        <v>12</v>
      </c>
      <c r="M36" s="28" t="n"/>
      <c r="N36" s="28" t="n"/>
      <c r="O36" s="28" t="n"/>
      <c r="P36" s="28" t="inlineStr">
        <is>
          <t>15h06113</t>
        </is>
      </c>
      <c r="Q36" s="28">
        <f>D36*5+E36*6+F36*7+G36*8+H36*9+I36*10+J36*11+K36*12+L36*13+M36*14+N36*15</f>
        <v/>
      </c>
      <c r="R36" s="28" t="inlineStr">
        <is>
          <t>PHC500B</t>
        </is>
      </c>
      <c r="S36" s="35" t="n"/>
    </row>
    <row r="37" ht="17.1" customHeight="1" s="51">
      <c r="A37" s="25" t="n">
        <v>31</v>
      </c>
      <c r="B37" s="26" t="inlineStr">
        <is>
          <t>17/04/2026</t>
        </is>
      </c>
      <c r="C37" s="27" t="inlineStr">
        <is>
          <t>XC11312604160083</t>
        </is>
      </c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>
        <v>14</v>
      </c>
      <c r="M37" s="28" t="n"/>
      <c r="N37" s="28" t="n"/>
      <c r="O37" s="28" t="n"/>
      <c r="P37" s="28" t="inlineStr">
        <is>
          <t>15c13023</t>
        </is>
      </c>
      <c r="Q37" s="28">
        <f>D37*5+E37*6+F37*7+G37*8+H37*9+I37*10+J37*11+K37*12+L37*13+M37*14+N37*15</f>
        <v/>
      </c>
      <c r="R37" s="28" t="inlineStr">
        <is>
          <t>PHC500B</t>
        </is>
      </c>
      <c r="S37" s="35" t="n"/>
    </row>
    <row r="38" ht="16.5" customHeight="1" s="51">
      <c r="A38" s="25" t="n">
        <v>32</v>
      </c>
      <c r="B38" s="26" t="inlineStr">
        <is>
          <t>17/04/2026</t>
        </is>
      </c>
      <c r="C38" s="27" t="inlineStr">
        <is>
          <t>XC11312604160053</t>
        </is>
      </c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>
        <v>14</v>
      </c>
      <c r="M38" s="28" t="n"/>
      <c r="N38" s="28" t="n"/>
      <c r="O38" s="28" t="n"/>
      <c r="P38" s="28" t="inlineStr">
        <is>
          <t>15h00760</t>
        </is>
      </c>
      <c r="Q38" s="28">
        <f>D38*5+E38*6+F38*7+G38*8+H38*9+I38*10+J38*11+K38*12+L38*13+M38*14+N38*15</f>
        <v/>
      </c>
      <c r="R38" s="28" t="inlineStr">
        <is>
          <t>PHC500B</t>
        </is>
      </c>
      <c r="S38" s="35" t="n"/>
    </row>
    <row r="39" ht="16.5" customHeight="1" s="51">
      <c r="A39" s="25" t="n">
        <v>33</v>
      </c>
      <c r="B39" s="26" t="inlineStr">
        <is>
          <t>17/04/2026</t>
        </is>
      </c>
      <c r="C39" s="27" t="inlineStr">
        <is>
          <t>XC11312604170024</t>
        </is>
      </c>
      <c r="D39" s="28" t="n"/>
      <c r="E39" s="28" t="n"/>
      <c r="F39" s="28" t="n"/>
      <c r="G39" s="28" t="n"/>
      <c r="H39" s="28" t="n"/>
      <c r="I39" s="28" t="n">
        <v>10</v>
      </c>
      <c r="J39" s="28" t="n"/>
      <c r="K39" s="28" t="n"/>
      <c r="L39" s="28" t="n"/>
      <c r="M39" s="28" t="n"/>
      <c r="N39" s="28" t="n"/>
      <c r="O39" s="28" t="n"/>
      <c r="P39" s="28" t="inlineStr">
        <is>
          <t>15c27470</t>
        </is>
      </c>
      <c r="Q39" s="28">
        <f>D39*5+E39*6+F39*7+G39*8+H39*9+I39*10+J39*11+K39*12+L39*13+M39*14+N39*15</f>
        <v/>
      </c>
      <c r="R39" s="28" t="inlineStr">
        <is>
          <t>PHC500B</t>
        </is>
      </c>
      <c r="S39" s="35" t="n"/>
    </row>
    <row r="40" ht="16.5" customHeight="1" s="51">
      <c r="A40" s="25" t="n">
        <v>34</v>
      </c>
      <c r="B40" s="26" t="inlineStr">
        <is>
          <t>18/04/2026</t>
        </is>
      </c>
      <c r="C40" s="27" t="inlineStr">
        <is>
          <t>XC11312604170037</t>
        </is>
      </c>
      <c r="D40" s="28" t="n"/>
      <c r="E40" s="28" t="n"/>
      <c r="F40" s="28" t="n"/>
      <c r="G40" s="28" t="n"/>
      <c r="H40" s="28" t="n"/>
      <c r="I40" s="28" t="n">
        <v>2</v>
      </c>
      <c r="J40" s="28" t="n"/>
      <c r="K40" s="28" t="n">
        <v>2</v>
      </c>
      <c r="L40" s="28" t="n">
        <v>10</v>
      </c>
      <c r="M40" s="28" t="n"/>
      <c r="N40" s="28" t="n"/>
      <c r="O40" s="28" t="n"/>
      <c r="P40" s="28" t="inlineStr">
        <is>
          <t>15c13023</t>
        </is>
      </c>
      <c r="Q40" s="28">
        <f>D40*5+E40*6+F40*7+G40*8+H40*9+I40*10+J40*11+K40*12+L40*13+M40*14+N40*15</f>
        <v/>
      </c>
      <c r="R40" s="28" t="inlineStr">
        <is>
          <t>PHC500B</t>
        </is>
      </c>
      <c r="S40" s="35" t="n"/>
    </row>
    <row r="41" ht="16.5" customHeight="1" s="51">
      <c r="A41" s="25" t="n">
        <v>35</v>
      </c>
      <c r="B41" s="26" t="inlineStr">
        <is>
          <t>18/04/2026</t>
        </is>
      </c>
      <c r="C41" s="27" t="inlineStr">
        <is>
          <t>XC11312604170038</t>
        </is>
      </c>
      <c r="D41" s="28" t="n"/>
      <c r="E41" s="28" t="n"/>
      <c r="F41" s="28" t="n"/>
      <c r="G41" s="28" t="n"/>
      <c r="H41" s="28" t="n"/>
      <c r="I41" s="28" t="n"/>
      <c r="J41" s="28" t="n">
        <v>10</v>
      </c>
      <c r="K41" s="28" t="n">
        <v>4</v>
      </c>
      <c r="L41" s="28" t="n"/>
      <c r="M41" s="28" t="n"/>
      <c r="N41" s="28" t="n"/>
      <c r="O41" s="28" t="n"/>
      <c r="P41" s="28" t="inlineStr">
        <is>
          <t>15h00760</t>
        </is>
      </c>
      <c r="Q41" s="28">
        <f>D41*5+E41*6+F41*7+G41*8+H41*9+I41*10+J41*11+K41*12+L41*13+M41*14+N41*15</f>
        <v/>
      </c>
      <c r="R41" s="28" t="inlineStr">
        <is>
          <t>PHC500B</t>
        </is>
      </c>
      <c r="S41" s="35" t="n"/>
    </row>
    <row r="42" ht="16.5" customHeight="1" s="51">
      <c r="A42" s="25" t="n">
        <v>36</v>
      </c>
      <c r="B42" s="26" t="inlineStr">
        <is>
          <t>20/4/2026</t>
        </is>
      </c>
      <c r="C42" s="27" t="inlineStr">
        <is>
          <t>XC11312604200059</t>
        </is>
      </c>
      <c r="D42" s="28" t="n"/>
      <c r="E42" s="28" t="n"/>
      <c r="F42" s="28" t="n"/>
      <c r="G42" s="28" t="n"/>
      <c r="H42" s="28" t="n"/>
      <c r="I42" s="28" t="n"/>
      <c r="J42" s="28" t="n">
        <v>7</v>
      </c>
      <c r="K42" s="28" t="n">
        <v>2</v>
      </c>
      <c r="L42" s="28" t="n"/>
      <c r="M42" s="28" t="n"/>
      <c r="N42" s="28" t="n"/>
      <c r="O42" s="28" t="n"/>
      <c r="P42" s="28" t="inlineStr">
        <is>
          <t>15C27470</t>
        </is>
      </c>
      <c r="Q42" s="28">
        <f>D42*5+E42*6+F42*7+G42*8+H42*9+I42*10+J42*11+K42*12+L42*13+M42*14+N42*15</f>
        <v/>
      </c>
      <c r="R42" s="28" t="inlineStr">
        <is>
          <t>PHC500B</t>
        </is>
      </c>
      <c r="S42" s="35" t="n"/>
    </row>
    <row r="43" ht="16.5" customHeight="1" s="51">
      <c r="A43" s="25" t="n">
        <v>37</v>
      </c>
      <c r="B43" s="26" t="inlineStr">
        <is>
          <t>20/4/2026</t>
        </is>
      </c>
      <c r="C43" s="27" t="inlineStr">
        <is>
          <t>XC11312604200065</t>
        </is>
      </c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>
        <v>8</v>
      </c>
      <c r="M43" s="28" t="n"/>
      <c r="N43" s="28" t="n"/>
      <c r="O43" s="28" t="n"/>
      <c r="P43" s="28" t="inlineStr">
        <is>
          <t>16H00391</t>
        </is>
      </c>
      <c r="Q43" s="28">
        <f>D43*5+E43*6+F43*7+G43*8+H43*9+I43*10+J43*11+K43*12+L43*13+M43*14+N43*15</f>
        <v/>
      </c>
      <c r="R43" s="28" t="inlineStr">
        <is>
          <t>PHC500B</t>
        </is>
      </c>
      <c r="S43" s="35" t="n"/>
    </row>
    <row r="44" ht="16.5" customHeight="1" s="51">
      <c r="A44" s="25" t="n">
        <v>38</v>
      </c>
      <c r="B44" s="26" t="inlineStr">
        <is>
          <t>20/4/2026</t>
        </is>
      </c>
      <c r="C44" s="27" t="inlineStr">
        <is>
          <t>XC11312604200066</t>
        </is>
      </c>
      <c r="D44" s="28" t="n"/>
      <c r="E44" s="28" t="n"/>
      <c r="F44" s="28" t="n"/>
      <c r="G44" s="28" t="n"/>
      <c r="H44" s="28" t="n"/>
      <c r="I44" s="28" t="n"/>
      <c r="J44" s="28" t="n"/>
      <c r="K44" s="28" t="n">
        <v>8</v>
      </c>
      <c r="L44" s="28" t="n"/>
      <c r="M44" s="28" t="n"/>
      <c r="N44" s="28" t="n"/>
      <c r="O44" s="28" t="n"/>
      <c r="P44" s="28" t="inlineStr">
        <is>
          <t>15C11482</t>
        </is>
      </c>
      <c r="Q44" s="28">
        <f>D44*5+E44*6+F44*7+G44*8+H44*9+I44*10+J44*11+K44*12+L44*13+M44*14+N44*15</f>
        <v/>
      </c>
      <c r="R44" s="28" t="inlineStr">
        <is>
          <t>PHC500B</t>
        </is>
      </c>
      <c r="S44" s="35" t="n"/>
    </row>
    <row r="45" ht="16.5" customHeight="1" s="51">
      <c r="A45" s="25" t="n">
        <v>39</v>
      </c>
      <c r="B45" s="26" t="inlineStr">
        <is>
          <t>21/4/2026</t>
        </is>
      </c>
      <c r="C45" s="27" t="inlineStr">
        <is>
          <t>XC11312604210068</t>
        </is>
      </c>
      <c r="D45" s="28" t="n"/>
      <c r="E45" s="28" t="n"/>
      <c r="F45" s="28" t="n"/>
      <c r="G45" s="28" t="n"/>
      <c r="H45" s="28" t="n"/>
      <c r="I45" s="28" t="n">
        <v>2</v>
      </c>
      <c r="J45" s="28" t="n"/>
      <c r="K45" s="28" t="n"/>
      <c r="L45" s="28" t="n">
        <v>6</v>
      </c>
      <c r="M45" s="28" t="n"/>
      <c r="N45" s="28" t="n"/>
      <c r="O45" s="28" t="n"/>
      <c r="P45" s="28" t="inlineStr">
        <is>
          <t>15H15181</t>
        </is>
      </c>
      <c r="Q45" s="28">
        <f>D45*5+E45*6+F45*7+G45*8+H45*9+I45*10+J45*11+K45*12+L45*13+M45*14+N45*15</f>
        <v/>
      </c>
      <c r="R45" s="28" t="inlineStr">
        <is>
          <t>PHC500B</t>
        </is>
      </c>
      <c r="S45" s="35" t="n"/>
    </row>
    <row r="46" ht="16.5" customHeight="1" s="51">
      <c r="A46" s="25" t="n">
        <v>40</v>
      </c>
      <c r="B46" s="26" t="inlineStr">
        <is>
          <t>21/4/2026</t>
        </is>
      </c>
      <c r="C46" s="27" t="inlineStr">
        <is>
          <t>XC11312604210046</t>
        </is>
      </c>
      <c r="D46" s="28" t="n"/>
      <c r="E46" s="28" t="n"/>
      <c r="F46" s="28" t="n"/>
      <c r="G46" s="28" t="n"/>
      <c r="H46" s="28" t="n"/>
      <c r="I46" s="28" t="n">
        <v>1</v>
      </c>
      <c r="J46" s="28" t="n"/>
      <c r="K46" s="28" t="n">
        <v>8</v>
      </c>
      <c r="L46" s="28" t="n"/>
      <c r="M46" s="28" t="n"/>
      <c r="N46" s="28" t="n"/>
      <c r="O46" s="28" t="n"/>
      <c r="P46" s="28" t="inlineStr">
        <is>
          <t>15C-14319</t>
        </is>
      </c>
      <c r="Q46" s="28">
        <f>D46*5+E46*6+F46*7+G46*8+H46*9+I46*10+J46*11+K46*12+L46*13+M46*14+N46*15</f>
        <v/>
      </c>
      <c r="R46" s="28" t="inlineStr">
        <is>
          <t>PHC500B</t>
        </is>
      </c>
      <c r="S46" s="35" t="n"/>
    </row>
    <row r="47" ht="16.5" customHeight="1" s="51">
      <c r="A47" s="25" t="n">
        <v>41</v>
      </c>
      <c r="B47" s="26" t="inlineStr">
        <is>
          <t>21/4/2026</t>
        </is>
      </c>
      <c r="C47" s="27" t="inlineStr">
        <is>
          <t>XC11312604210047</t>
        </is>
      </c>
      <c r="D47" s="28" t="n"/>
      <c r="E47" s="28" t="n"/>
      <c r="F47" s="28" t="n"/>
      <c r="G47" s="28" t="n"/>
      <c r="H47" s="28" t="n"/>
      <c r="I47" s="28" t="n"/>
      <c r="J47" s="28" t="n"/>
      <c r="K47" s="28" t="n">
        <v>4</v>
      </c>
      <c r="L47" s="28" t="n">
        <v>4</v>
      </c>
      <c r="M47" s="28" t="n"/>
      <c r="N47" s="28" t="n"/>
      <c r="O47" s="28" t="n"/>
      <c r="P47" s="28" t="inlineStr">
        <is>
          <t>15C27470</t>
        </is>
      </c>
      <c r="Q47" s="28">
        <f>D47*5+E47*6+F47*7+G47*8+H47*9+I47*10+J47*11+K47*12+L47*13+M47*14+N47*15</f>
        <v/>
      </c>
      <c r="R47" s="28" t="inlineStr">
        <is>
          <t>PHC500B</t>
        </is>
      </c>
      <c r="S47" s="35" t="n"/>
    </row>
    <row r="48" ht="16.5" customHeight="1" s="51">
      <c r="A48" s="25" t="n"/>
      <c r="B48" s="26" t="inlineStr">
        <is>
          <t>22/4/2026</t>
        </is>
      </c>
      <c r="C48" s="27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>
        <v>67</v>
      </c>
      <c r="P48" s="28" t="n"/>
      <c r="Q48" s="28" t="n"/>
      <c r="R48" s="28" t="n"/>
      <c r="S48" s="35" t="n"/>
    </row>
    <row r="49" ht="16.5" customHeight="1" s="51">
      <c r="A49" s="5" t="n">
        <v>42</v>
      </c>
      <c r="B49" s="6" t="inlineStr">
        <is>
          <t>25/4/2026</t>
        </is>
      </c>
      <c r="C49" s="7" t="inlineStr">
        <is>
          <t>XC11312604250019</t>
        </is>
      </c>
      <c r="D49" s="8" t="n"/>
      <c r="E49" s="8" t="n"/>
      <c r="F49" s="8" t="n"/>
      <c r="G49" s="8" t="n"/>
      <c r="H49" s="8" t="n"/>
      <c r="I49" s="8" t="n">
        <v>3</v>
      </c>
      <c r="J49" s="8" t="n"/>
      <c r="K49" s="8" t="n">
        <v>2</v>
      </c>
      <c r="L49" s="8" t="n">
        <v>2</v>
      </c>
      <c r="M49" s="8" t="n"/>
      <c r="N49" s="8" t="n"/>
      <c r="O49" s="8" t="n"/>
      <c r="P49" s="8" t="inlineStr">
        <is>
          <t>15F01491</t>
        </is>
      </c>
      <c r="Q49" s="8">
        <f>D49*5+E49*6+F49*7+G49*8+H49*9+I49*10+J49*11+K49*12+L49*13+M49*14+N49*15</f>
        <v/>
      </c>
      <c r="R49" s="28" t="inlineStr">
        <is>
          <t>PHC500B</t>
        </is>
      </c>
      <c r="S49" s="35" t="n"/>
    </row>
    <row r="50" ht="16.5" customHeight="1" s="51">
      <c r="A50" s="5" t="n">
        <v>43</v>
      </c>
      <c r="B50" s="6" t="n">
        <v>46086</v>
      </c>
      <c r="C50" s="7" t="inlineStr">
        <is>
          <t>XC11312605030018</t>
        </is>
      </c>
      <c r="D50" s="8" t="n"/>
      <c r="E50" s="8" t="n"/>
      <c r="F50" s="8" t="n"/>
      <c r="G50" s="8" t="n"/>
      <c r="H50" s="8" t="n"/>
      <c r="I50" s="8" t="n"/>
      <c r="J50" s="8" t="n"/>
      <c r="K50" s="8" t="n">
        <v>6</v>
      </c>
      <c r="L50" s="8" t="n">
        <v>5</v>
      </c>
      <c r="M50" s="8" t="n">
        <v>3</v>
      </c>
      <c r="N50" s="8" t="n"/>
      <c r="O50" s="8" t="n"/>
      <c r="P50" s="8" t="inlineStr">
        <is>
          <t>15H06113</t>
        </is>
      </c>
      <c r="Q50" s="8">
        <f>D50*5+E50*6+F50*7+G50*8+H50*9+I50*10+J50*11+K50*12+L50*13+M50*14+N50*15</f>
        <v/>
      </c>
      <c r="R50" s="28" t="inlineStr">
        <is>
          <t>PHC500B</t>
        </is>
      </c>
      <c r="S50" s="35" t="n"/>
    </row>
    <row r="51" ht="16.5" customHeight="1" s="51">
      <c r="A51" s="5" t="n">
        <v>44</v>
      </c>
      <c r="B51" s="6" t="n">
        <v>46147</v>
      </c>
      <c r="C51" s="7" t="inlineStr">
        <is>
          <t>XC11312605050018</t>
        </is>
      </c>
      <c r="D51" s="8" t="n"/>
      <c r="E51" s="8" t="n"/>
      <c r="F51" s="8" t="n"/>
      <c r="G51" s="8" t="n"/>
      <c r="H51" s="8" t="n"/>
      <c r="I51" s="8" t="n"/>
      <c r="J51" s="8" t="n"/>
      <c r="K51" s="8" t="n">
        <v>3</v>
      </c>
      <c r="L51" s="8" t="n">
        <v>2</v>
      </c>
      <c r="M51" s="8" t="n">
        <v>3</v>
      </c>
      <c r="N51" s="8" t="n"/>
      <c r="O51" s="8" t="n"/>
      <c r="P51" s="8" t="inlineStr">
        <is>
          <t>15H05823</t>
        </is>
      </c>
      <c r="Q51" s="8">
        <f>D51*5+E51*6+F51*7+G51*8+H51*9+I51*10+J51*11+K51*12+L51*13+M51*14+N51*15</f>
        <v/>
      </c>
      <c r="R51" s="28" t="inlineStr">
        <is>
          <t>PHC500B</t>
        </is>
      </c>
      <c r="S51" s="35" t="n"/>
    </row>
    <row r="52" ht="16.5" customHeight="1" s="51">
      <c r="A52" s="5" t="n">
        <v>45</v>
      </c>
      <c r="B52" s="6" t="inlineStr">
        <is>
          <t>05/05/2026</t>
        </is>
      </c>
      <c r="C52" s="7" t="inlineStr">
        <is>
          <t>XC11312605050054</t>
        </is>
      </c>
      <c r="D52" s="8" t="n"/>
      <c r="E52" s="8" t="n"/>
      <c r="F52" s="8" t="n"/>
      <c r="G52" s="8" t="n"/>
      <c r="H52" s="8" t="n"/>
      <c r="I52" s="8" t="n"/>
      <c r="J52" s="8" t="n">
        <v>1</v>
      </c>
      <c r="K52" s="8" t="n">
        <v>6</v>
      </c>
      <c r="L52" s="8" t="n">
        <v>6</v>
      </c>
      <c r="M52" s="8" t="n"/>
      <c r="N52" s="8" t="n"/>
      <c r="O52" s="8" t="n"/>
      <c r="P52" s="8" t="inlineStr">
        <is>
          <t>15H12236</t>
        </is>
      </c>
      <c r="Q52" s="8">
        <f>D52*5+E52*6+F52*7+G52*8+H52*9+I52*10+J52*11+K52*12+L52*13+M52*14+N52*15</f>
        <v/>
      </c>
      <c r="R52" s="28" t="inlineStr">
        <is>
          <t>PHC500B</t>
        </is>
      </c>
      <c r="S52" s="35" t="inlineStr">
        <is>
          <t>8102260027</t>
        </is>
      </c>
    </row>
    <row r="53" ht="16.5" customHeight="1" s="51">
      <c r="A53" s="5" t="n">
        <v>46</v>
      </c>
      <c r="B53" s="6" t="inlineStr">
        <is>
          <t>06/05/2026</t>
        </is>
      </c>
      <c r="C53" s="7" t="inlineStr">
        <is>
          <t>XC11312605060015</t>
        </is>
      </c>
      <c r="D53" s="8" t="n"/>
      <c r="E53" s="8" t="n"/>
      <c r="F53" s="8" t="n"/>
      <c r="G53" s="8" t="n"/>
      <c r="H53" s="8" t="n"/>
      <c r="I53" s="8" t="n"/>
      <c r="J53" s="8" t="n"/>
      <c r="K53" s="8" t="n">
        <v>5</v>
      </c>
      <c r="L53" s="8" t="n">
        <v>9</v>
      </c>
      <c r="M53" s="8" t="n"/>
      <c r="N53" s="8" t="n"/>
      <c r="O53" s="8" t="n"/>
      <c r="P53" s="8" t="inlineStr">
        <is>
          <t>15H-29602</t>
        </is>
      </c>
      <c r="Q53" s="8">
        <f>D53*5+E53*6+F53*7+G53*8+H53*9+I53*10+J53*11+K53*12+L53*13+M53*14+N53*15</f>
        <v/>
      </c>
      <c r="R53" s="28" t="inlineStr">
        <is>
          <t>PHC500B</t>
        </is>
      </c>
      <c r="S53" s="35" t="inlineStr">
        <is>
          <t>8102260027</t>
        </is>
      </c>
    </row>
    <row r="54" ht="16.5" customHeight="1" s="51">
      <c r="A54" s="5" t="n">
        <v>47</v>
      </c>
      <c r="B54" s="6" t="n">
        <v>46208</v>
      </c>
      <c r="C54" s="7" t="inlineStr">
        <is>
          <t>XC11312605070042</t>
        </is>
      </c>
      <c r="D54" s="8" t="n"/>
      <c r="E54" s="8" t="n"/>
      <c r="F54" s="8" t="n"/>
      <c r="G54" s="8" t="n"/>
      <c r="H54" s="8" t="n"/>
      <c r="I54" s="8" t="n"/>
      <c r="J54" s="8" t="n">
        <v>12</v>
      </c>
      <c r="K54" s="8" t="n"/>
      <c r="L54" s="8" t="n"/>
      <c r="M54" s="8" t="n"/>
      <c r="N54" s="8" t="n"/>
      <c r="O54" s="8" t="n"/>
      <c r="P54" s="8" t="inlineStr">
        <is>
          <t>15F-01437</t>
        </is>
      </c>
      <c r="Q54" s="8">
        <f>D54*5+E54*6+F54*7+G54*8+H54*9+I54*10+J54*11+K54*12+L54*13+M54*14+N54*15</f>
        <v/>
      </c>
      <c r="R54" s="28" t="inlineStr">
        <is>
          <t>PHC500B</t>
        </is>
      </c>
      <c r="S54" s="49" t="inlineStr">
        <is>
          <t>8106260021</t>
        </is>
      </c>
    </row>
    <row r="55" ht="16.5" customHeight="1" s="51">
      <c r="A55" s="5" t="n">
        <v>48</v>
      </c>
      <c r="B55" s="6" t="n">
        <v>46208</v>
      </c>
      <c r="C55" s="7" t="inlineStr">
        <is>
          <t>XC11312605070038</t>
        </is>
      </c>
      <c r="D55" s="8" t="n"/>
      <c r="E55" s="8" t="n"/>
      <c r="F55" s="8" t="n"/>
      <c r="G55" s="8" t="n"/>
      <c r="H55" s="8" t="n"/>
      <c r="I55" s="8" t="n"/>
      <c r="J55" s="8" t="n">
        <v>12</v>
      </c>
      <c r="K55" s="8" t="n"/>
      <c r="L55" s="8" t="n"/>
      <c r="M55" s="8" t="n"/>
      <c r="N55" s="8" t="n"/>
      <c r="O55" s="8" t="n"/>
      <c r="P55" s="8" t="inlineStr">
        <is>
          <t>15C-13023</t>
        </is>
      </c>
      <c r="Q55" s="8">
        <f>D55*5+E55*6+F55*7+G55*8+H55*9+I55*10+J55*11+K55*12+L55*13+M55*14+N55*15</f>
        <v/>
      </c>
      <c r="R55" s="28" t="inlineStr">
        <is>
          <t>PHC500B</t>
        </is>
      </c>
      <c r="S55" s="49" t="inlineStr">
        <is>
          <t>8106260021</t>
        </is>
      </c>
    </row>
    <row r="56" ht="16.5" customHeight="1" s="51">
      <c r="A56" s="5" t="n">
        <v>49</v>
      </c>
      <c r="B56" s="6" t="n">
        <v>46208</v>
      </c>
      <c r="C56" s="7" t="inlineStr">
        <is>
          <t>XC113126050700458</t>
        </is>
      </c>
      <c r="D56" s="8" t="n"/>
      <c r="E56" s="8" t="n"/>
      <c r="F56" s="8" t="n"/>
      <c r="G56" s="8" t="n"/>
      <c r="H56" s="8" t="n"/>
      <c r="I56" s="8" t="n"/>
      <c r="J56" s="8" t="n">
        <v>12</v>
      </c>
      <c r="K56" s="8" t="n"/>
      <c r="L56" s="8" t="n"/>
      <c r="M56" s="8" t="n"/>
      <c r="N56" s="8" t="n"/>
      <c r="O56" s="8" t="n"/>
      <c r="P56" s="50" t="inlineStr">
        <is>
          <t>15E-01940</t>
        </is>
      </c>
      <c r="Q56" s="8">
        <f>D56*5+E56*6+F56*7+G56*8+H56*9+I56*10+J56*11+K56*12+L56*13+M56*14+N56*15</f>
        <v/>
      </c>
      <c r="R56" s="28" t="inlineStr">
        <is>
          <t>PHC500B</t>
        </is>
      </c>
      <c r="S56" s="34" t="inlineStr">
        <is>
          <t>8106260021</t>
        </is>
      </c>
    </row>
    <row r="57" ht="16.5" customHeight="1" s="51">
      <c r="A57" s="5" t="n">
        <v>50</v>
      </c>
      <c r="B57" s="6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>
        <f>D57*5+E57*6+F57*7+G57*8+H57*9+I57*10+J57*11+K57*12+L57*13+M57*14+N57*15</f>
        <v/>
      </c>
      <c r="R57" s="28" t="inlineStr">
        <is>
          <t>PHC500B</t>
        </is>
      </c>
      <c r="S57" s="34" t="n"/>
    </row>
    <row r="58" ht="16.5" customHeight="1" s="51">
      <c r="A58" s="5" t="n">
        <v>51</v>
      </c>
      <c r="B58" s="9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>
        <f>D58*5+E58*6+F58*7+G58*8+H58*9+I58*10+J58*11+K58*12+L58*13+M58*14+N58*15</f>
        <v/>
      </c>
      <c r="R58" s="28" t="inlineStr">
        <is>
          <t>PHC500B</t>
        </is>
      </c>
      <c r="S58" s="34" t="n"/>
    </row>
    <row r="59" ht="16.5" customHeight="1" s="51">
      <c r="A59" s="5" t="n">
        <v>52</v>
      </c>
      <c r="B59" s="9" t="inlineStr">
        <is>
          <t>2026-05-23</t>
        </is>
      </c>
      <c r="C59" s="7" t="inlineStr">
        <is>
          <t>XC11312605230007</t>
        </is>
      </c>
      <c r="D59" s="8" t="inlineStr"/>
      <c r="E59" s="8" t="n">
        <v>7</v>
      </c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>
        <is>
          <t>15H-06113</t>
        </is>
      </c>
      <c r="Q59" s="8">
        <f>D59*5+E59*6+F59*7+G59*8+H59*9+I59*10+J59*11+K59*12+L59*13+M59*14+N59*15</f>
        <v/>
      </c>
      <c r="R59" s="28" t="inlineStr"/>
      <c r="S59" s="34" t="n">
        <v>8102250098</v>
      </c>
    </row>
    <row r="60" ht="16.5" customHeight="1" s="51">
      <c r="A60" s="5" t="n">
        <v>53</v>
      </c>
      <c r="B60" s="9" t="inlineStr">
        <is>
          <t>2026-05-23</t>
        </is>
      </c>
      <c r="C60" s="7" t="inlineStr">
        <is>
          <t>XC11312605230007</t>
        </is>
      </c>
      <c r="D60" s="8" t="inlineStr"/>
      <c r="E60" s="8" t="inlineStr"/>
      <c r="F60" s="8" t="inlineStr"/>
      <c r="G60" s="8" t="inlineStr"/>
      <c r="H60" s="8" t="n">
        <v>7</v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>
        <is>
          <t>15H-06113</t>
        </is>
      </c>
      <c r="Q60" s="8">
        <f>D60*5+E60*6+F60*7+G60*8+H60*9+I60*10+J60*11+K60*12+L60*13+M60*14+N60*15</f>
        <v/>
      </c>
      <c r="R60" s="28" t="inlineStr"/>
      <c r="S60" s="34" t="n">
        <v>8102250098</v>
      </c>
    </row>
    <row r="61" ht="16.5" customHeight="1" s="51">
      <c r="A61" s="5" t="n">
        <v>54</v>
      </c>
      <c r="B61" s="9" t="inlineStr">
        <is>
          <t>2026-05-23</t>
        </is>
      </c>
      <c r="C61" s="7" t="inlineStr">
        <is>
          <t>XC11312605230007</t>
        </is>
      </c>
      <c r="D61" s="8" t="inlineStr"/>
      <c r="E61" s="8" t="inlineStr"/>
      <c r="F61" s="8" t="inlineStr"/>
      <c r="G61" s="8" t="inlineStr"/>
      <c r="H61" s="8" t="inlineStr"/>
      <c r="I61" s="8" t="n">
        <v>10</v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>
        <is>
          <t>15H-06113</t>
        </is>
      </c>
      <c r="Q61" s="8">
        <f>D61*5+E61*6+F61*7+G61*8+H61*9+I61*10+J61*11+K61*12+L61*13+M61*14+N61*15</f>
        <v/>
      </c>
      <c r="R61" s="28" t="inlineStr"/>
      <c r="S61" s="34" t="n">
        <v>8102250098</v>
      </c>
    </row>
    <row r="62" ht="16.5" customHeight="1" s="51">
      <c r="A62" s="5" t="n">
        <v>55</v>
      </c>
      <c r="B62" s="9" t="inlineStr">
        <is>
          <t>2026-05-23</t>
        </is>
      </c>
      <c r="C62" s="7" t="inlineStr">
        <is>
          <t>XC11312605230007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n">
        <v>6</v>
      </c>
      <c r="K62" s="8" t="inlineStr"/>
      <c r="L62" s="8" t="inlineStr"/>
      <c r="M62" s="8" t="inlineStr"/>
      <c r="N62" s="8" t="inlineStr"/>
      <c r="O62" s="8" t="inlineStr"/>
      <c r="P62" s="8" t="inlineStr">
        <is>
          <t>15H-06113</t>
        </is>
      </c>
      <c r="Q62" s="8">
        <f>D62*5+E62*6+F62*7+G62*8+H62*9+I62*10+J62*11+K62*12+L62*13+M62*14+N62*15</f>
        <v/>
      </c>
      <c r="R62" s="28" t="inlineStr"/>
      <c r="S62" s="34" t="n">
        <v>8102250098</v>
      </c>
    </row>
    <row r="63" ht="16.5" customHeight="1" s="51">
      <c r="A63" s="5" t="n">
        <v>56</v>
      </c>
      <c r="B63" s="9" t="inlineStr">
        <is>
          <t>2026-05-23</t>
        </is>
      </c>
      <c r="C63" s="7" t="inlineStr">
        <is>
          <t>XC11312605230007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n">
        <v>6</v>
      </c>
      <c r="L63" s="8" t="inlineStr"/>
      <c r="M63" s="8" t="inlineStr"/>
      <c r="N63" s="8" t="inlineStr"/>
      <c r="O63" s="8" t="inlineStr"/>
      <c r="P63" s="8" t="inlineStr">
        <is>
          <t>15H-06113</t>
        </is>
      </c>
      <c r="Q63" s="8">
        <f>D63*5+E63*6+F63*7+G63*8+H63*9+I63*10+J63*11+K63*12+L63*13+M63*14+N63*15</f>
        <v/>
      </c>
      <c r="R63" s="28" t="inlineStr"/>
      <c r="S63" s="34" t="n">
        <v>8102250098</v>
      </c>
    </row>
    <row r="64" ht="16.5" customHeight="1" s="51">
      <c r="A64" s="48" t="inlineStr">
        <is>
          <t>KL CỌC NHẬP VỀ</t>
        </is>
      </c>
      <c r="B64" s="40" t="n"/>
      <c r="C64" s="41" t="n"/>
      <c r="D64" s="10">
        <f>SUM(D7:D63)</f>
        <v/>
      </c>
      <c r="E64" s="10">
        <f>SUM(E7:E63)</f>
        <v/>
      </c>
      <c r="F64" s="10">
        <f>SUM(F7:F63)</f>
        <v/>
      </c>
      <c r="G64" s="10">
        <f>SUM(G7:G63)</f>
        <v/>
      </c>
      <c r="H64" s="10">
        <f>SUM(H7:H63)</f>
        <v/>
      </c>
      <c r="I64" s="10">
        <f>SUM(I7:I63)</f>
        <v/>
      </c>
      <c r="J64" s="10">
        <f>SUM(J7:J63)</f>
        <v/>
      </c>
      <c r="K64" s="10">
        <f>SUM(K7:K63)</f>
        <v/>
      </c>
      <c r="L64" s="10">
        <f>SUM(L7:L63)</f>
        <v/>
      </c>
      <c r="M64" s="10">
        <f>SUM(M7:M63)</f>
        <v/>
      </c>
      <c r="N64" s="11">
        <f>SUM(N7:N63)</f>
        <v/>
      </c>
      <c r="O64" s="10">
        <f>SUM(O7:O63)</f>
        <v/>
      </c>
      <c r="P64" s="12" t="n"/>
      <c r="Q64" s="12">
        <f>SUM(Q7:Q63)</f>
        <v/>
      </c>
      <c r="R64" s="13" t="n"/>
      <c r="S64" s="13" t="n"/>
    </row>
    <row r="65" ht="15.6" customHeight="1" s="51">
      <c r="B65" s="52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 t="n"/>
      <c r="P65" s="15" t="n"/>
      <c r="Q65" s="15" t="n"/>
      <c r="R65" s="17" t="n"/>
    </row>
    <row r="66" ht="15.6" customHeight="1" s="51">
      <c r="A66" s="47" t="inlineStr">
        <is>
          <t>ĐẠI DIỆN BÊN A</t>
        </is>
      </c>
      <c r="K66" s="47" t="inlineStr">
        <is>
          <t>ĐẠI DIỆN BÊN B</t>
        </is>
      </c>
      <c r="S66" s="47" t="n"/>
    </row>
    <row r="67" ht="15.6" customHeight="1" s="51">
      <c r="B67" s="52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43" t="n"/>
      <c r="P67" s="18" t="n"/>
      <c r="Q67" s="15" t="n"/>
      <c r="R67" s="17" t="n"/>
    </row>
    <row r="68" ht="15.6" customHeight="1" s="51">
      <c r="B68" s="52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6" t="n"/>
      <c r="P68" s="15" t="n"/>
      <c r="Q68" s="15" t="n"/>
      <c r="R68" s="17" t="n"/>
    </row>
    <row r="69" ht="15.6" customHeight="1" s="51">
      <c r="B69" s="52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6" t="n"/>
      <c r="P69" s="15" t="n"/>
      <c r="Q69" s="15" t="n"/>
      <c r="R69" s="17" t="n"/>
    </row>
    <row r="70" ht="15.6" customHeight="1" s="51">
      <c r="B70" s="53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6" t="n"/>
      <c r="P70" s="15" t="n"/>
      <c r="Q70" s="15" t="n"/>
      <c r="R70" s="17" t="n"/>
    </row>
    <row r="71" ht="15.6" customHeight="1" s="51">
      <c r="B71" s="53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6" t="n"/>
      <c r="P71" s="15" t="n"/>
      <c r="Q71" s="15" t="n"/>
      <c r="R71" s="17" t="n"/>
    </row>
    <row r="72" ht="15.6" customHeight="1" s="51">
      <c r="B72" s="53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 t="n"/>
      <c r="P72" s="15" t="n"/>
      <c r="Q72" s="15" t="n"/>
      <c r="R72" s="17" t="n"/>
    </row>
    <row r="73" ht="15.6" customHeight="1" s="51">
      <c r="B73" s="53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6" t="n"/>
      <c r="P73" s="15" t="n"/>
      <c r="Q73" s="15" t="n"/>
      <c r="R73" s="17" t="n"/>
    </row>
    <row r="74" ht="15.6" customHeight="1" s="51">
      <c r="B74" s="53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 t="n"/>
      <c r="P74" s="15" t="n"/>
      <c r="Q74" s="15" t="n"/>
      <c r="R74" s="17" t="n"/>
    </row>
    <row r="75" ht="15.6" customHeight="1" s="51">
      <c r="B75" s="53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 t="n"/>
      <c r="P75" s="15" t="n"/>
      <c r="Q75" s="15" t="n"/>
      <c r="R75" s="17" t="n"/>
    </row>
    <row r="76" ht="15.6" customHeight="1" s="51">
      <c r="B76" s="53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6" t="n"/>
      <c r="P76" s="15" t="n"/>
      <c r="Q76" s="15" t="n"/>
      <c r="R76" s="20" t="n"/>
    </row>
    <row r="77" ht="15.6" customHeight="1" s="51">
      <c r="B77" s="53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6" t="n"/>
      <c r="P77" s="15" t="n"/>
      <c r="Q77" s="15" t="n"/>
      <c r="R77" s="20" t="n"/>
    </row>
    <row r="78" ht="15.6" customHeight="1" s="51">
      <c r="B78" s="53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 t="n"/>
      <c r="P78" s="15" t="n"/>
      <c r="Q78" s="15" t="n"/>
      <c r="R78" s="20" t="n"/>
    </row>
    <row r="79" ht="15.6" customHeight="1" s="51">
      <c r="B79" s="53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 t="n"/>
      <c r="P79" s="15" t="n"/>
      <c r="Q79" s="15" t="n"/>
      <c r="R79" s="20" t="n"/>
    </row>
    <row r="80" ht="15.6" customHeight="1" s="51">
      <c r="B80" s="53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6" t="n"/>
      <c r="P80" s="15" t="n"/>
      <c r="Q80" s="15" t="n"/>
      <c r="R80" s="17" t="n"/>
    </row>
    <row r="81" ht="15.6" customHeight="1" s="51">
      <c r="B81" s="53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6" t="n"/>
      <c r="P81" s="15" t="n"/>
      <c r="Q81" s="15" t="n"/>
      <c r="R81" s="17" t="n"/>
    </row>
    <row r="82" ht="15.6" customHeight="1" s="51">
      <c r="B82" s="53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6" t="n"/>
      <c r="P82" s="15" t="n"/>
      <c r="Q82" s="15" t="n"/>
      <c r="R82" s="17" t="n"/>
    </row>
    <row r="83" ht="15.6" customHeight="1" s="51">
      <c r="B83" s="53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6" t="n"/>
      <c r="P83" s="15" t="n"/>
      <c r="Q83" s="15" t="n"/>
      <c r="R83" s="17" t="n"/>
    </row>
    <row r="84" ht="15.6" customHeight="1" s="51">
      <c r="B84" s="53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6" t="n"/>
      <c r="P84" s="15" t="n"/>
      <c r="Q84" s="15" t="n"/>
      <c r="R84" s="17" t="n"/>
    </row>
    <row r="85" ht="15.6" customHeight="1" s="51">
      <c r="B85" s="53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6" t="n"/>
      <c r="P85" s="15" t="n"/>
      <c r="Q85" s="15" t="n"/>
      <c r="R85" s="17" t="n"/>
    </row>
    <row r="86" ht="15.6" customHeight="1" s="51">
      <c r="B86" s="53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6" t="n"/>
      <c r="P86" s="15" t="n"/>
      <c r="Q86" s="15" t="n"/>
      <c r="R86" s="17" t="n"/>
    </row>
    <row r="87" ht="15.6" customHeight="1" s="51">
      <c r="B87" s="53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 t="n"/>
      <c r="P87" s="15" t="n"/>
      <c r="Q87" s="15" t="n"/>
      <c r="R87" s="17" t="n"/>
    </row>
    <row r="88" ht="15.6" customHeight="1" s="51">
      <c r="B88" s="53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6" t="n"/>
      <c r="P88" s="15" t="n"/>
      <c r="Q88" s="15" t="n"/>
      <c r="R88" s="21" t="n"/>
    </row>
    <row r="89" ht="15.6" customHeight="1" s="51">
      <c r="B89" s="53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6" t="n"/>
      <c r="P89" s="15" t="n"/>
      <c r="Q89" s="15" t="n"/>
      <c r="R89" s="17" t="n"/>
    </row>
    <row r="90" ht="15.6" customHeight="1" s="51">
      <c r="B90" s="53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6" t="n"/>
      <c r="P90" s="15" t="n"/>
      <c r="Q90" s="15" t="n"/>
      <c r="R90" s="17" t="n"/>
    </row>
    <row r="91" ht="15.6" customHeight="1" s="51">
      <c r="B91" s="53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 t="n"/>
      <c r="P91" s="15" t="n"/>
      <c r="Q91" s="15" t="n"/>
      <c r="R91" s="21" t="n"/>
    </row>
    <row r="92" ht="15.6" customHeight="1" s="51">
      <c r="B92" s="53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 t="n"/>
      <c r="P92" s="15" t="n"/>
      <c r="Q92" s="15" t="n"/>
      <c r="R92" s="17" t="n"/>
    </row>
    <row r="93" ht="15.6" customHeight="1" s="51">
      <c r="B93" s="53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6" t="n"/>
      <c r="P93" s="15" t="n"/>
      <c r="Q93" s="15" t="n"/>
      <c r="R93" s="21" t="n"/>
    </row>
    <row r="94" ht="15.6" customHeight="1" s="51">
      <c r="B94" s="53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 t="n"/>
      <c r="P94" s="15" t="n"/>
      <c r="Q94" s="15" t="n"/>
      <c r="R94" s="17" t="n"/>
    </row>
    <row r="95" ht="15.6" customHeight="1" s="51">
      <c r="B95" s="53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 t="n"/>
      <c r="P95" s="15" t="n"/>
      <c r="Q95" s="15" t="n"/>
      <c r="R95" s="17" t="n"/>
    </row>
    <row r="96" ht="15.6" customHeight="1" s="51">
      <c r="B96" s="53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6" t="n"/>
      <c r="P96" s="15" t="n"/>
      <c r="Q96" s="15" t="n"/>
      <c r="R96" s="21" t="n"/>
    </row>
    <row r="97" ht="15.6" customHeight="1" s="51">
      <c r="B97" s="53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6" t="n"/>
      <c r="P97" s="15" t="n"/>
      <c r="Q97" s="15" t="n"/>
      <c r="R97" s="21" t="n"/>
    </row>
    <row r="98" ht="15.6" customHeight="1" s="51">
      <c r="B98" s="53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6" t="n"/>
      <c r="P98" s="15" t="n"/>
      <c r="Q98" s="15" t="n"/>
      <c r="R98" s="17" t="n"/>
    </row>
    <row r="99" ht="15.6" customHeight="1" s="51">
      <c r="B99" s="53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 t="n"/>
      <c r="P99" s="15" t="n"/>
      <c r="Q99" s="15" t="n"/>
      <c r="R99" s="17" t="n"/>
    </row>
    <row r="100" ht="15.6" customHeight="1" s="51">
      <c r="B100" s="53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 t="n"/>
      <c r="P100" s="15" t="n"/>
      <c r="Q100" s="15" t="n"/>
      <c r="R100" s="21" t="n"/>
    </row>
    <row r="101" ht="15.6" customHeight="1" s="51">
      <c r="B101" s="53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6" t="n"/>
      <c r="P101" s="15" t="n"/>
      <c r="Q101" s="15" t="n"/>
      <c r="R101" s="17" t="n"/>
    </row>
    <row r="102" ht="15.6" customHeight="1" s="51">
      <c r="B102" s="53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6" t="n"/>
      <c r="P102" s="15" t="n"/>
      <c r="Q102" s="15" t="n"/>
      <c r="R102" s="21" t="n"/>
    </row>
    <row r="103" ht="15.6" customHeight="1" s="51">
      <c r="B103" s="53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6" t="n"/>
      <c r="P103" s="15" t="n"/>
      <c r="Q103" s="15" t="n"/>
      <c r="R103" s="17" t="n"/>
    </row>
    <row r="104" ht="15.6" customHeight="1" s="51">
      <c r="B104" s="53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 t="n"/>
      <c r="P104" s="15" t="n"/>
      <c r="Q104" s="15" t="n"/>
      <c r="R104" s="21" t="n"/>
    </row>
    <row r="105" ht="15.6" customHeight="1" s="51">
      <c r="B105" s="53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 t="n"/>
      <c r="P105" s="15" t="n"/>
      <c r="Q105" s="15" t="n"/>
      <c r="R105" s="21" t="n"/>
    </row>
    <row r="106" ht="15.6" customHeight="1" s="51">
      <c r="B106" s="53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 t="n"/>
      <c r="P106" s="15" t="n"/>
      <c r="Q106" s="15" t="n"/>
      <c r="R106" s="21" t="n"/>
    </row>
    <row r="107" ht="15.6" customHeight="1" s="51">
      <c r="B107" s="53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6" t="n"/>
      <c r="P107" s="15" t="n"/>
      <c r="Q107" s="15" t="n"/>
      <c r="R107" s="21" t="n"/>
    </row>
    <row r="108" ht="15.6" customHeight="1" s="51">
      <c r="B108" s="53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6" t="n"/>
      <c r="P108" s="15" t="n"/>
      <c r="Q108" s="15" t="n"/>
      <c r="R108" s="21" t="n"/>
    </row>
    <row r="109" ht="15.6" customHeight="1" s="51">
      <c r="B109" s="53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6" t="n"/>
      <c r="P109" s="15" t="n"/>
      <c r="Q109" s="15" t="n"/>
      <c r="R109" s="21" t="n"/>
    </row>
    <row r="110" ht="15.6" customHeight="1" s="51">
      <c r="B110" s="53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6" t="n"/>
      <c r="P110" s="15" t="n"/>
      <c r="Q110" s="15" t="n"/>
      <c r="R110" s="21" t="n"/>
    </row>
    <row r="111" ht="15.6" customHeight="1" s="51">
      <c r="B111" s="53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6" t="n"/>
      <c r="P111" s="15" t="n"/>
      <c r="Q111" s="15" t="n"/>
      <c r="R111" s="21" t="n"/>
    </row>
    <row r="112" ht="15.6" customHeight="1" s="51">
      <c r="B112" s="53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 t="n"/>
      <c r="P112" s="15" t="n"/>
      <c r="Q112" s="15" t="n"/>
      <c r="R112" s="21" t="n"/>
    </row>
    <row r="113" ht="15.6" customHeight="1" s="51">
      <c r="B113" s="53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6" t="n"/>
      <c r="P113" s="15" t="n"/>
      <c r="Q113" s="15" t="n"/>
      <c r="R113" s="21" t="n"/>
    </row>
    <row r="114" ht="15.6" customHeight="1" s="51">
      <c r="B114" s="53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 t="n"/>
      <c r="P114" s="15" t="n"/>
      <c r="Q114" s="15" t="n"/>
      <c r="R114" s="21" t="n"/>
    </row>
    <row r="115" ht="15.6" customHeight="1" s="51">
      <c r="B115" s="53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6" t="n"/>
      <c r="P115" s="15" t="n"/>
      <c r="Q115" s="15" t="n"/>
      <c r="R115" s="21" t="n"/>
    </row>
    <row r="116" ht="15.6" customHeight="1" s="51">
      <c r="B116" s="53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6" t="n"/>
      <c r="P116" s="15" t="n"/>
      <c r="Q116" s="15" t="n"/>
      <c r="R116" s="21" t="n"/>
    </row>
    <row r="117" ht="15.6" customHeight="1" s="51">
      <c r="B117" s="53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6" t="n"/>
      <c r="P117" s="15" t="n"/>
      <c r="Q117" s="15" t="n"/>
      <c r="R117" s="21" t="n"/>
    </row>
    <row r="118" ht="15.6" customHeight="1" s="51">
      <c r="B118" s="53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6" t="n"/>
      <c r="P118" s="15" t="n"/>
      <c r="Q118" s="15" t="n"/>
      <c r="R118" s="21" t="n"/>
    </row>
    <row r="119" ht="15.6" customHeight="1" s="51">
      <c r="B119" s="53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 t="n"/>
      <c r="P119" s="15" t="n"/>
      <c r="Q119" s="15" t="n"/>
      <c r="R119" s="21" t="n"/>
    </row>
    <row r="120" ht="15.6" customHeight="1" s="51">
      <c r="B120" s="53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 t="n"/>
      <c r="P120" s="15" t="n"/>
      <c r="Q120" s="15" t="n"/>
      <c r="R120" s="21" t="n"/>
    </row>
    <row r="121" ht="15.6" customHeight="1" s="51">
      <c r="B121" s="53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 t="n"/>
      <c r="P121" s="15" t="n"/>
      <c r="Q121" s="15" t="n"/>
      <c r="R121" s="21" t="n"/>
    </row>
    <row r="122" ht="15.6" customHeight="1" s="51">
      <c r="B122" s="53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 t="n"/>
      <c r="P122" s="15" t="n"/>
      <c r="Q122" s="15" t="n"/>
      <c r="R122" s="21" t="n"/>
    </row>
    <row r="123" ht="15.6" customHeight="1" s="51">
      <c r="B123" s="53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 t="n"/>
      <c r="P123" s="15" t="n"/>
      <c r="Q123" s="15" t="n"/>
      <c r="R123" s="21" t="n"/>
    </row>
    <row r="124" ht="15.6" customHeight="1" s="51">
      <c r="B124" s="53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6" t="n"/>
      <c r="P124" s="15" t="n"/>
      <c r="Q124" s="15" t="n"/>
      <c r="R124" s="21" t="n"/>
    </row>
    <row r="125" ht="15.6" customHeight="1" s="51">
      <c r="B125" s="53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6" t="n"/>
      <c r="P125" s="15" t="n"/>
      <c r="Q125" s="15" t="n"/>
      <c r="R125" s="21" t="n"/>
    </row>
    <row r="126" ht="15.6" customHeight="1" s="51">
      <c r="B126" s="53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 t="n"/>
      <c r="P126" s="15" t="n"/>
      <c r="Q126" s="15" t="n"/>
      <c r="R126" s="21" t="n"/>
    </row>
    <row r="127" ht="15.6" customHeight="1" s="51">
      <c r="B127" s="53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 t="n"/>
      <c r="P127" s="15" t="n"/>
      <c r="Q127" s="15" t="n"/>
      <c r="R127" s="21" t="n"/>
    </row>
    <row r="128" ht="15.6" customHeight="1" s="51">
      <c r="B128" s="53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 t="n"/>
      <c r="P128" s="15" t="n"/>
      <c r="Q128" s="15" t="n"/>
      <c r="R128" s="21" t="n"/>
    </row>
    <row r="129" ht="15.6" customHeight="1" s="51">
      <c r="B129" s="53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 t="n"/>
      <c r="P129" s="15" t="n"/>
      <c r="Q129" s="15" t="n"/>
      <c r="R129" s="21" t="n"/>
    </row>
    <row r="130" ht="15.6" customHeight="1" s="51">
      <c r="B130" s="53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6" t="n"/>
      <c r="P130" s="15" t="n"/>
      <c r="Q130" s="15" t="n"/>
      <c r="R130" s="21" t="n"/>
    </row>
    <row r="131" ht="15.6" customHeight="1" s="51">
      <c r="B131" s="53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6" t="n"/>
      <c r="P131" s="15" t="n"/>
      <c r="Q131" s="15" t="n"/>
      <c r="R131" s="21" t="n"/>
    </row>
    <row r="132" ht="15.6" customHeight="1" s="51">
      <c r="B132" s="53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6" t="n"/>
      <c r="P132" s="15" t="n"/>
      <c r="Q132" s="15" t="n"/>
      <c r="R132" s="21" t="n"/>
    </row>
    <row r="133" ht="15.6" customHeight="1" s="51">
      <c r="B133" s="53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6" t="n"/>
      <c r="P133" s="15" t="n"/>
      <c r="Q133" s="15" t="n"/>
      <c r="R133" s="21" t="n"/>
    </row>
    <row r="134" ht="15.6" customHeight="1" s="51">
      <c r="B134" s="53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 t="n"/>
      <c r="P134" s="15" t="n"/>
      <c r="Q134" s="15" t="n"/>
      <c r="R134" s="21" t="n"/>
    </row>
    <row r="135" ht="15.6" customHeight="1" s="51">
      <c r="B135" s="53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6" t="n"/>
      <c r="P135" s="15" t="n"/>
      <c r="Q135" s="15" t="n"/>
      <c r="R135" s="21" t="n"/>
    </row>
    <row r="136" ht="15.6" customHeight="1" s="51">
      <c r="B136" s="53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 t="n"/>
      <c r="P136" s="15" t="n"/>
      <c r="Q136" s="15" t="n"/>
      <c r="R136" s="17" t="n"/>
    </row>
    <row r="137" ht="15.6" customHeight="1" s="51">
      <c r="B137" s="53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54" t="n"/>
    </row>
    <row r="138" ht="15.6" customHeight="1" s="51">
      <c r="B138" s="53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7" t="n"/>
    </row>
    <row r="139" ht="15.6" customHeight="1" s="51">
      <c r="B139" s="53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55" t="n"/>
    </row>
    <row r="140" ht="15.6" customHeight="1" s="51"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16" t="n"/>
      <c r="P140" s="24" t="n"/>
      <c r="Q140" s="24" t="n"/>
      <c r="R140" s="17" t="n"/>
    </row>
    <row r="141"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16" t="n"/>
      <c r="P141" s="24" t="n"/>
      <c r="Q141" s="24" t="n"/>
      <c r="R141" s="17" t="n"/>
    </row>
    <row r="142"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16" t="n"/>
      <c r="P142" s="24" t="n"/>
      <c r="Q142" s="24" t="n"/>
      <c r="R142" s="17" t="n"/>
    </row>
    <row r="143"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16" t="n"/>
      <c r="P143" s="24" t="n"/>
      <c r="Q143" s="24" t="n"/>
      <c r="R143" s="17" t="n"/>
    </row>
    <row r="144"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16" t="n"/>
      <c r="P144" s="24" t="n"/>
      <c r="Q144" s="24" t="n"/>
      <c r="R144" s="17" t="n"/>
    </row>
    <row r="145"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16" t="n"/>
      <c r="P145" s="24" t="n"/>
      <c r="Q145" s="24" t="n"/>
      <c r="R145" s="17" t="n"/>
    </row>
  </sheetData>
  <autoFilter ref="A6:R59"/>
  <mergeCells count="14">
    <mergeCell ref="P4:P6"/>
    <mergeCell ref="S4:S6"/>
    <mergeCell ref="B4:B6"/>
    <mergeCell ref="Q4:Q6"/>
    <mergeCell ref="R4:R6"/>
    <mergeCell ref="O4:O6"/>
    <mergeCell ref="A4:A6"/>
    <mergeCell ref="D5:N5"/>
    <mergeCell ref="A64:C64"/>
    <mergeCell ref="K66:R66"/>
    <mergeCell ref="D4:N4"/>
    <mergeCell ref="A1:R3"/>
    <mergeCell ref="C4:C6"/>
    <mergeCell ref="A66:J66"/>
  </mergeCells>
  <pageMargins left="0.9" right="0.21" top="0.3" bottom="0.43" header="0.19" footer="0.17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2018-03-08T14:37:31Z</dcterms:created>
  <dcterms:modified xsi:type="dcterms:W3CDTF">2026-05-24T11:20:21Z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82525d2813bf49bab3b78fff5da3201a</vt:lpwstr>
  </property>
</Properties>
</file>