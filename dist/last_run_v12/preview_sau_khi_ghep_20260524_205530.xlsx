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hạng mục CT" sheetId="1" state="visible" r:id="rId1"/>
    <sheet name="ÉP D350" sheetId="2" state="visible" r:id="rId2"/>
    <sheet name="ÉP D300" sheetId="3" state="visible" r:id="rId3"/>
    <sheet name="nhập cọc D350" sheetId="4" state="visible" r:id="rId4"/>
    <sheet name="nhập cọc D300" sheetId="5" state="visible" r:id="rId5"/>
    <sheet name="công nhật" sheetId="6" state="visible" r:id="rId6"/>
    <sheet name="chuyển máy 420" sheetId="7" state="visible" r:id="rId7"/>
    <sheet name="Vât tư sửa máy" sheetId="8" state="visible" r:id="rId8"/>
  </sheets>
  <definedNames/>
  <calcPr calcId="18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_(* #,##0_);_(* \(#,##0\);_(* &quot;-&quot;??_);_(@_)"/>
    <numFmt numFmtId="165" formatCode="mm/dd/yy;@"/>
    <numFmt numFmtId="166" formatCode="&quot;15C-&quot;0"/>
    <numFmt numFmtId="167" formatCode="m/d/yyyy;@"/>
    <numFmt numFmtId="168" formatCode="0.0"/>
    <numFmt numFmtId="169" formatCode="_(* #,##0.0_);_(* \(#,##0.0\);_(* &quot;-&quot;??_);_(@_)"/>
    <numFmt numFmtId="170" formatCode="_(* #,##0.0_);_(* \(#,##0.0\);_(* &quot;-&quot;??.0_);_(@_)"/>
    <numFmt numFmtId="171" formatCode="&quot;D&quot;0&quot; - Độ dài&quot;"/>
    <numFmt numFmtId="172" formatCode="&quot;Tổng số m cọc D&quot;0"/>
    <numFmt numFmtId="173" formatCode="_-* #,##0.00\ _₫_-;\-* #,##0.00\ _₫_-;_-* &quot;-&quot;??\ _₫_-;_-@_-"/>
  </numFmts>
  <fonts count="58">
    <font>
      <name val="Arial"/>
      <charset val="163"/>
      <color theme="1"/>
      <sz val="11"/>
      <scheme val="minor"/>
    </font>
    <font>
      <name val="Times New Roman"/>
      <charset val="134"/>
      <b val="1"/>
      <color theme="1"/>
      <sz val="11"/>
    </font>
    <font>
      <name val="Times New Roman"/>
      <charset val="134"/>
      <color theme="1"/>
      <sz val="11"/>
    </font>
    <font>
      <name val="Times New Roman"/>
      <charset val="134"/>
      <color theme="1"/>
      <sz val="13"/>
    </font>
    <font>
      <name val="Times New Roman"/>
      <charset val="134"/>
      <b val="1"/>
      <color theme="1"/>
      <sz val="13"/>
    </font>
    <font>
      <name val="Times New Roman"/>
      <charset val="134"/>
      <b val="1"/>
      <i val="1"/>
      <color theme="1"/>
      <sz val="13"/>
    </font>
    <font>
      <name val="Times New Roman"/>
      <charset val="134"/>
      <b val="1"/>
      <color theme="1"/>
      <sz val="14"/>
    </font>
    <font>
      <name val="Times New Roman"/>
      <charset val="134"/>
      <b val="1"/>
      <i val="1"/>
      <color theme="1"/>
      <sz val="14"/>
    </font>
    <font>
      <name val="Times New Roman"/>
      <charset val="134"/>
      <b val="1"/>
      <color theme="1"/>
      <sz val="15"/>
    </font>
    <font>
      <name val="Arial"/>
      <charset val="134"/>
      <b val="1"/>
      <color theme="1"/>
      <sz val="14"/>
      <scheme val="minor"/>
    </font>
    <font>
      <name val="Arial"/>
      <charset val="163"/>
      <b val="1"/>
      <color theme="1"/>
      <sz val="14"/>
      <scheme val="minor"/>
    </font>
    <font>
      <name val="Calibri"/>
      <charset val="134"/>
      <b val="1"/>
      <sz val="14"/>
    </font>
    <font>
      <name val="Calibri"/>
      <charset val="134"/>
      <sz val="11"/>
    </font>
    <font>
      <name val="Times New Roman"/>
      <charset val="134"/>
      <b val="1"/>
      <sz val="20"/>
    </font>
    <font>
      <name val="Times New Roman"/>
      <charset val="134"/>
      <color rgb="FF000000"/>
      <sz val="11.5"/>
    </font>
    <font>
      <name val="Times New Roman"/>
      <charset val="134"/>
      <color rgb="FF000000"/>
      <sz val="12"/>
    </font>
    <font>
      <name val="Times New Roman"/>
      <charset val="134"/>
      <sz val="12"/>
    </font>
    <font>
      <name val="Times New Roman"/>
      <charset val="134"/>
      <b val="1"/>
      <color rgb="FF000000"/>
      <sz val="12"/>
    </font>
    <font>
      <name val="Times New Roman"/>
      <charset val="134"/>
      <b val="1"/>
      <sz val="12"/>
    </font>
    <font>
      <name val="Times New Roman"/>
      <charset val="134"/>
      <b val="1"/>
      <color rgb="FFFF0000"/>
      <sz val="11"/>
    </font>
    <font>
      <name val="Times New Roman"/>
      <charset val="134"/>
      <b val="1"/>
      <i val="1"/>
      <color rgb="FFFF0000"/>
      <sz val="11"/>
    </font>
    <font>
      <name val="Times New Roman"/>
      <charset val="134"/>
      <b val="1"/>
      <sz val="13"/>
    </font>
    <font>
      <name val="Times New Roman"/>
      <charset val="134"/>
      <sz val="10"/>
    </font>
    <font>
      <name val="Times New Roman"/>
      <charset val="134"/>
      <sz val="13"/>
    </font>
    <font>
      <name val="Times New Roman"/>
      <charset val="134"/>
      <color rgb="FFFF0000"/>
      <sz val="12"/>
    </font>
    <font>
      <name val="Arial"/>
      <charset val="163"/>
      <color theme="1"/>
      <sz val="14"/>
      <scheme val="minor"/>
    </font>
    <font>
      <name val="Arial"/>
      <charset val="163"/>
      <color theme="1"/>
      <sz val="10"/>
      <scheme val="minor"/>
    </font>
    <font>
      <name val="Times New Roman"/>
      <charset val="134"/>
      <b val="1"/>
      <sz val="22"/>
    </font>
    <font>
      <name val="Times New Roman"/>
      <charset val="134"/>
      <b val="1"/>
      <sz val="10"/>
    </font>
    <font>
      <name val="Times New Roman"/>
      <charset val="134"/>
      <b val="1"/>
      <sz val="14"/>
    </font>
    <font>
      <name val="Times New Roman"/>
      <charset val="134"/>
      <sz val="11"/>
    </font>
    <font>
      <name val="Times New Roman"/>
      <charset val="163"/>
      <b val="1"/>
      <i val="1"/>
      <sz val="14"/>
    </font>
    <font>
      <name val="Times New Roman"/>
      <charset val="163"/>
      <b val="1"/>
      <i val="1"/>
      <sz val="10"/>
    </font>
    <font>
      <name val="Times New Roman"/>
      <charset val="134"/>
      <sz val="14"/>
    </font>
    <font>
      <name val="Times New Roman"/>
      <charset val="163"/>
      <sz val="14"/>
    </font>
    <font>
      <name val="Times New Roman"/>
      <charset val="163"/>
      <sz val="10"/>
    </font>
    <font>
      <name val="Times New Roman"/>
      <charset val="134"/>
      <color rgb="FF000000"/>
      <sz val="11"/>
    </font>
    <font>
      <name val="Times New Roman"/>
      <charset val="134"/>
      <b val="1"/>
      <sz val="11"/>
    </font>
    <font>
      <name val="Arial"/>
      <charset val="134"/>
      <b val="1"/>
      <sz val="10"/>
    </font>
    <font>
      <name val="Times New Roman"/>
      <charset val="134"/>
      <color rgb="FFFF0000"/>
      <sz val="11"/>
    </font>
    <font>
      <name val="Arial"/>
      <charset val="134"/>
      <sz val="10"/>
    </font>
    <font>
      <name val="Arial"/>
      <charset val="134"/>
      <color rgb="FF008000"/>
      <sz val="10"/>
    </font>
    <font>
      <name val="Arial"/>
      <charset val="134"/>
      <color rgb="FF008000"/>
      <sz val="12"/>
    </font>
    <font>
      <name val="Arial"/>
      <charset val="134"/>
      <b val="1"/>
      <sz val="14"/>
    </font>
    <font>
      <name val="Arial"/>
      <charset val="134"/>
      <b val="1"/>
      <color rgb="FF008000"/>
      <sz val="10"/>
    </font>
    <font>
      <name val="Arial"/>
      <charset val="163"/>
      <color theme="1"/>
      <sz val="16"/>
      <scheme val="minor"/>
    </font>
    <font>
      <name val="Times New Roman"/>
      <charset val="134"/>
      <b val="1"/>
      <color theme="1"/>
      <sz val="16"/>
    </font>
    <font>
      <name val="Times New Roman"/>
      <charset val="134"/>
      <color theme="1"/>
      <sz val="16"/>
    </font>
    <font>
      <name val="Times New Roman"/>
      <charset val="134"/>
      <b val="1"/>
      <sz val="16"/>
    </font>
    <font>
      <name val="Times New Roman"/>
      <charset val="134"/>
      <sz val="16"/>
    </font>
    <font>
      <name val="Times New Roman"/>
      <charset val="134"/>
      <i val="1"/>
      <sz val="12"/>
    </font>
    <font>
      <name val="Times New Roman"/>
      <charset val="134"/>
      <b val="1"/>
      <i val="1"/>
      <sz val="12"/>
    </font>
    <font>
      <name val="Arial"/>
      <charset val="134"/>
      <b val="1"/>
      <color theme="1"/>
      <sz val="18"/>
      <scheme val="minor"/>
    </font>
    <font>
      <name val="Arial"/>
      <charset val="134"/>
      <color theme="1"/>
      <sz val="11"/>
      <scheme val="minor"/>
    </font>
    <font>
      <name val="Arial"/>
      <charset val="134"/>
      <b val="1"/>
      <color theme="1"/>
      <sz val="16"/>
      <scheme val="minor"/>
    </font>
    <font>
      <name val="宋体"/>
      <charset val="134"/>
      <sz val="12"/>
    </font>
    <font>
      <name val="Times New Roman"/>
      <charset val="163"/>
      <b val="1"/>
      <sz val="14"/>
    </font>
    <font>
      <name val="Arial"/>
      <charset val="163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16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57" fillId="0" borderId="0"/>
    <xf numFmtId="173" fontId="57" fillId="0" borderId="0"/>
    <xf numFmtId="173" fontId="53" fillId="0" borderId="0"/>
    <xf numFmtId="0" fontId="40" fillId="0" borderId="0"/>
    <xf numFmtId="0" fontId="55" fillId="0" borderId="0" applyAlignment="1">
      <alignment vertical="center"/>
    </xf>
  </cellStyleXfs>
  <cellXfs count="36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1" fillId="2" borderId="5" applyAlignment="1" pivotButton="0" quotePrefix="0" xfId="0">
      <alignment horizontal="center"/>
    </xf>
    <xf numFmtId="14" fontId="2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/>
    </xf>
    <xf numFmtId="0" fontId="2" fillId="0" borderId="5" pivotButton="0" quotePrefix="0" xfId="0"/>
    <xf numFmtId="0" fontId="2" fillId="0" borderId="5" applyAlignment="1" pivotButton="0" quotePrefix="0" xfId="0">
      <alignment horizontal="left"/>
    </xf>
    <xf numFmtId="0" fontId="2" fillId="0" borderId="5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3" borderId="5" applyAlignment="1" pivotButton="0" quotePrefix="0" xfId="0">
      <alignment horizontal="center" vertical="center"/>
    </xf>
    <xf numFmtId="14" fontId="4" fillId="3" borderId="6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0" fontId="4" fillId="3" borderId="5" applyAlignment="1" pivotButton="0" quotePrefix="0" xfId="0">
      <alignment horizontal="justify" vertical="center"/>
    </xf>
    <xf numFmtId="0" fontId="5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 wrapText="1"/>
    </xf>
    <xf numFmtId="14" fontId="4" fillId="0" borderId="6" applyAlignment="1" pivotButton="0" quotePrefix="0" xfId="0">
      <alignment horizontal="center" vertical="center"/>
    </xf>
    <xf numFmtId="0" fontId="4" fillId="0" borderId="5" applyAlignment="1" pivotButton="0" quotePrefix="0" xfId="0">
      <alignment horizontal="justify" vertical="center"/>
    </xf>
    <xf numFmtId="0" fontId="4" fillId="0" borderId="6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right" vertical="center" wrapText="1"/>
    </xf>
    <xf numFmtId="164" fontId="4" fillId="3" borderId="5" applyAlignment="1" pivotButton="0" quotePrefix="0" xfId="1">
      <alignment horizontal="center" vertical="center" wrapText="1"/>
    </xf>
    <xf numFmtId="164" fontId="4" fillId="3" borderId="5" applyAlignment="1" pivotButton="0" quotePrefix="0" xfId="1">
      <alignment horizontal="center" vertical="center"/>
    </xf>
    <xf numFmtId="164" fontId="4" fillId="0" borderId="5" applyAlignment="1" pivotButton="0" quotePrefix="0" xfId="1">
      <alignment horizontal="center" vertical="center" wrapText="1"/>
    </xf>
    <xf numFmtId="164" fontId="4" fillId="0" borderId="5" applyAlignment="1" pivotButton="0" quotePrefix="0" xfId="1">
      <alignment horizontal="center" vertical="center"/>
    </xf>
    <xf numFmtId="164" fontId="9" fillId="0" borderId="5" applyAlignment="1" pivotButton="0" quotePrefix="0" xfId="1">
      <alignment horizontal="right" vertical="center"/>
    </xf>
    <xf numFmtId="164" fontId="9" fillId="0" borderId="5" applyAlignment="1" pivotButton="0" quotePrefix="0" xfId="1">
      <alignment horizontal="center" vertical="center"/>
    </xf>
    <xf numFmtId="0" fontId="10" fillId="0" borderId="0" pivotButton="0" quotePrefix="0" xfId="0"/>
    <xf numFmtId="0" fontId="11" fillId="4" borderId="5" applyAlignment="1" pivotButton="0" quotePrefix="0" xfId="0">
      <alignment horizontal="center" vertical="center"/>
    </xf>
    <xf numFmtId="0" fontId="11" fillId="0" borderId="0" pivotButton="0" quotePrefix="0" xfId="0"/>
    <xf numFmtId="0" fontId="12" fillId="3" borderId="5" applyAlignment="1" pivotButton="0" quotePrefix="0" xfId="0">
      <alignment horizontal="center"/>
    </xf>
    <xf numFmtId="14" fontId="12" fillId="3" borderId="5" applyAlignment="1" pivotButton="0" quotePrefix="0" xfId="0">
      <alignment horizontal="center"/>
    </xf>
    <xf numFmtId="0" fontId="12" fillId="3" borderId="5" pivotButton="0" quotePrefix="0" xfId="0"/>
    <xf numFmtId="0" fontId="12" fillId="0" borderId="5" applyAlignment="1" pivotButton="0" quotePrefix="0" xfId="0">
      <alignment horizontal="center"/>
    </xf>
    <xf numFmtId="14" fontId="12" fillId="0" borderId="5" applyAlignment="1" pivotButton="0" quotePrefix="0" xfId="0">
      <alignment horizontal="center"/>
    </xf>
    <xf numFmtId="0" fontId="12" fillId="0" borderId="5" pivotButton="0" quotePrefix="0" xfId="0"/>
    <xf numFmtId="0" fontId="11" fillId="0" borderId="5" applyAlignment="1" pivotButton="0" quotePrefix="0" xfId="0">
      <alignment horizontal="center"/>
    </xf>
    <xf numFmtId="0" fontId="12" fillId="3" borderId="0" pivotButton="0" quotePrefix="0" xfId="0"/>
    <xf numFmtId="0" fontId="12" fillId="0" borderId="0" pivotButton="0" quotePrefix="0" xfId="0"/>
    <xf numFmtId="0" fontId="11" fillId="0" borderId="0" applyAlignment="1" pivotButton="0" quotePrefix="0" xfId="0">
      <alignment vertical="center"/>
    </xf>
    <xf numFmtId="0" fontId="12" fillId="3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4" fillId="5" borderId="0" applyAlignment="1" pivotButton="0" quotePrefix="0" xfId="0">
      <alignment vertical="center"/>
    </xf>
    <xf numFmtId="0" fontId="15" fillId="5" borderId="0" applyAlignment="1" pivotButton="0" quotePrefix="0" xfId="0">
      <alignment vertical="center"/>
    </xf>
    <xf numFmtId="0" fontId="17" fillId="6" borderId="5" applyAlignment="1" applyProtection="1" pivotButton="0" quotePrefix="0" xfId="0">
      <alignment horizontal="center" vertical="center"/>
      <protection locked="0" hidden="0"/>
    </xf>
    <xf numFmtId="0" fontId="16" fillId="3" borderId="5" applyAlignment="1" pivotButton="0" quotePrefix="0" xfId="4">
      <alignment horizontal="center" vertical="center"/>
    </xf>
    <xf numFmtId="14" fontId="16" fillId="3" borderId="4" applyAlignment="1" pivotButton="0" quotePrefix="0" xfId="0">
      <alignment horizontal="center" vertical="center"/>
    </xf>
    <xf numFmtId="3" fontId="16" fillId="3" borderId="5" applyAlignment="1" pivotButton="0" quotePrefix="0" xfId="0">
      <alignment horizontal="center"/>
    </xf>
    <xf numFmtId="0" fontId="16" fillId="0" borderId="5" applyAlignment="1" pivotButton="0" quotePrefix="0" xfId="0">
      <alignment horizontal="center" vertical="center"/>
    </xf>
    <xf numFmtId="14" fontId="16" fillId="3" borderId="5" applyAlignment="1" pivotButton="0" quotePrefix="0" xfId="0">
      <alignment horizontal="center" vertical="center"/>
    </xf>
    <xf numFmtId="14" fontId="16" fillId="0" borderId="5" applyAlignment="1" pivotButton="0" quotePrefix="0" xfId="0">
      <alignment horizontal="center" vertical="center"/>
    </xf>
    <xf numFmtId="1" fontId="15" fillId="0" borderId="5" applyAlignment="1" pivotButton="0" quotePrefix="0" xfId="0">
      <alignment horizontal="center"/>
    </xf>
    <xf numFmtId="1" fontId="17" fillId="0" borderId="5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1" fontId="18" fillId="2" borderId="5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1" fontId="18" fillId="0" borderId="5" applyAlignment="1" pivotButton="0" quotePrefix="0" xfId="0">
      <alignment horizontal="center" vertical="center"/>
    </xf>
    <xf numFmtId="0" fontId="19" fillId="5" borderId="0" applyAlignment="1" pivotButton="0" quotePrefix="0" xfId="0">
      <alignment vertical="top"/>
    </xf>
    <xf numFmtId="0" fontId="20" fillId="5" borderId="0" applyAlignment="1" pivotButton="0" quotePrefix="0" xfId="0">
      <alignment vertical="top"/>
    </xf>
    <xf numFmtId="49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22" fillId="5" borderId="0" pivotButton="0" quotePrefix="0" xfId="0"/>
    <xf numFmtId="165" fontId="23" fillId="0" borderId="0" applyAlignment="1" pivotButton="0" quotePrefix="0" xfId="0">
      <alignment horizontal="center"/>
    </xf>
    <xf numFmtId="0" fontId="16" fillId="5" borderId="0" applyAlignment="1" pivotButton="0" quotePrefix="0" xfId="0">
      <alignment vertical="center"/>
    </xf>
    <xf numFmtId="166" fontId="15" fillId="0" borderId="1" applyAlignment="1" pivotButton="0" quotePrefix="0" xfId="0">
      <alignment horizontal="center" vertical="center"/>
    </xf>
    <xf numFmtId="0" fontId="15" fillId="2" borderId="5" applyAlignment="1" pivotButton="0" quotePrefix="0" xfId="0">
      <alignment horizontal="center"/>
    </xf>
    <xf numFmtId="14" fontId="22" fillId="0" borderId="5" applyAlignment="1" pivotButton="0" quotePrefix="0" xfId="0">
      <alignment horizontal="center" vertical="center"/>
    </xf>
    <xf numFmtId="1" fontId="17" fillId="2" borderId="5" applyAlignment="1" pivotButton="0" quotePrefix="0" xfId="0">
      <alignment horizontal="center"/>
    </xf>
    <xf numFmtId="0" fontId="24" fillId="0" borderId="5" applyAlignment="1" pivotButton="0" quotePrefix="0" xfId="0">
      <alignment horizontal="center" vertical="center"/>
    </xf>
    <xf numFmtId="0" fontId="17" fillId="2" borderId="5" applyAlignment="1" pivotButton="0" quotePrefix="0" xfId="0">
      <alignment horizontal="center"/>
    </xf>
    <xf numFmtId="0" fontId="15" fillId="0" borderId="5" applyAlignment="1" pivotButton="0" quotePrefix="0" xfId="0">
      <alignment horizontal="center" vertical="center"/>
    </xf>
    <xf numFmtId="1" fontId="16" fillId="0" borderId="5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/>
    </xf>
    <xf numFmtId="0" fontId="15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center"/>
    </xf>
    <xf numFmtId="1" fontId="16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25" fillId="0" borderId="0" pivotButton="0" quotePrefix="0" xfId="0"/>
    <xf numFmtId="0" fontId="10" fillId="0" borderId="5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26" fillId="0" borderId="0" pivotButton="0" quotePrefix="0" xfId="0"/>
    <xf numFmtId="164" fontId="0" fillId="0" borderId="0" applyAlignment="1" pivotButton="0" quotePrefix="0" xfId="0">
      <alignment horizontal="center" vertical="center"/>
    </xf>
    <xf numFmtId="167" fontId="22" fillId="0" borderId="0" applyAlignment="1" pivotButton="0" quotePrefix="0" xfId="0">
      <alignment horizontal="center" vertical="center"/>
    </xf>
    <xf numFmtId="167" fontId="22" fillId="0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164" fontId="22" fillId="0" borderId="0" applyAlignment="1" pivotButton="0" quotePrefix="0" xfId="1">
      <alignment horizontal="center" vertical="center"/>
    </xf>
    <xf numFmtId="0" fontId="29" fillId="0" borderId="1" applyAlignment="1" pivotButton="0" quotePrefix="0" xfId="0">
      <alignment horizontal="center" vertical="center" wrapText="1"/>
    </xf>
    <xf numFmtId="167" fontId="29" fillId="0" borderId="5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164" fontId="29" fillId="0" borderId="1" applyAlignment="1" pivotButton="0" quotePrefix="0" xfId="1">
      <alignment horizontal="center" vertical="center" wrapText="1"/>
    </xf>
    <xf numFmtId="0" fontId="33" fillId="0" borderId="5" applyAlignment="1" pivotButton="0" quotePrefix="0" xfId="0">
      <alignment horizontal="center" vertical="center" wrapText="1"/>
    </xf>
    <xf numFmtId="167" fontId="34" fillId="0" borderId="5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5" fillId="0" borderId="5" applyAlignment="1" pivotButton="0" quotePrefix="0" xfId="0">
      <alignment horizontal="center" vertical="center" wrapText="1"/>
    </xf>
    <xf numFmtId="1" fontId="30" fillId="0" borderId="5" applyAlignment="1" pivotButton="0" quotePrefix="0" xfId="0">
      <alignment horizontal="center" vertical="center" wrapText="1"/>
    </xf>
    <xf numFmtId="164" fontId="30" fillId="0" borderId="5" applyAlignment="1" pivotButton="0" quotePrefix="0" xfId="1">
      <alignment horizontal="center" vertical="center" wrapText="1"/>
    </xf>
    <xf numFmtId="14" fontId="34" fillId="0" borderId="4" applyAlignment="1" pivotButton="0" quotePrefix="0" xfId="0">
      <alignment horizontal="center" vertical="center" wrapText="1"/>
    </xf>
    <xf numFmtId="14" fontId="36" fillId="0" borderId="5" applyAlignment="1" pivotButton="0" quotePrefix="0" xfId="0">
      <alignment horizontal="center" vertical="center"/>
    </xf>
    <xf numFmtId="14" fontId="36" fillId="5" borderId="5" applyAlignment="1" pivotButton="0" quotePrefix="0" xfId="0">
      <alignment horizontal="center" vertical="center"/>
    </xf>
    <xf numFmtId="0" fontId="22" fillId="5" borderId="5" applyAlignment="1" pivotButton="0" quotePrefix="0" xfId="0">
      <alignment horizontal="center" vertical="center"/>
    </xf>
    <xf numFmtId="0" fontId="37" fillId="0" borderId="4" applyAlignment="1" pivotButton="0" quotePrefix="0" xfId="0">
      <alignment horizontal="center" vertical="center" wrapText="1"/>
    </xf>
    <xf numFmtId="164" fontId="37" fillId="0" borderId="4" applyAlignment="1" pivotButton="0" quotePrefix="0" xfId="1">
      <alignment horizontal="center" vertical="center" wrapText="1"/>
    </xf>
    <xf numFmtId="0" fontId="38" fillId="0" borderId="0" applyAlignment="1" pivotButton="0" quotePrefix="0" xfId="0">
      <alignment horizontal="center" vertical="center" wrapText="1"/>
    </xf>
    <xf numFmtId="167" fontId="38" fillId="0" borderId="0" applyAlignment="1" pivotButton="0" quotePrefix="0" xfId="0">
      <alignment horizontal="center" vertical="center" wrapText="1"/>
    </xf>
    <xf numFmtId="0" fontId="38" fillId="0" borderId="11" applyAlignment="1" pivotButton="0" quotePrefix="0" xfId="0">
      <alignment horizontal="center" vertical="center" wrapText="1"/>
    </xf>
    <xf numFmtId="164" fontId="38" fillId="0" borderId="0" applyAlignment="1" pivotButton="0" quotePrefix="0" xfId="1">
      <alignment horizontal="center" vertical="center" wrapText="1"/>
    </xf>
    <xf numFmtId="1" fontId="22" fillId="0" borderId="0" applyAlignment="1" pivotButton="0" quotePrefix="0" xfId="0">
      <alignment horizontal="center"/>
    </xf>
    <xf numFmtId="1" fontId="29" fillId="0" borderId="15" applyAlignment="1" pivotButton="0" quotePrefix="0" xfId="0">
      <alignment horizontal="center" vertical="center" wrapText="1"/>
    </xf>
    <xf numFmtId="1" fontId="29" fillId="0" borderId="10" applyAlignment="1" pivotButton="0" quotePrefix="0" xfId="0">
      <alignment horizontal="center" vertical="center" wrapText="1"/>
    </xf>
    <xf numFmtId="1" fontId="39" fillId="0" borderId="5" applyAlignment="1" pivotButton="0" quotePrefix="0" xfId="0">
      <alignment horizontal="center" vertical="center" wrapText="1"/>
    </xf>
    <xf numFmtId="1" fontId="37" fillId="8" borderId="4" applyAlignment="1" pivotButton="0" quotePrefix="0" xfId="1">
      <alignment horizontal="center" vertical="center" wrapText="1"/>
    </xf>
    <xf numFmtId="1" fontId="38" fillId="0" borderId="0" applyAlignment="1" pivotButton="0" quotePrefix="0" xfId="0">
      <alignment horizontal="center" vertical="center" wrapText="1"/>
    </xf>
    <xf numFmtId="1" fontId="37" fillId="0" borderId="5" applyAlignment="1" pivotButton="0" quotePrefix="0" xfId="0">
      <alignment horizontal="center" vertical="center" wrapText="1"/>
    </xf>
    <xf numFmtId="0" fontId="29" fillId="0" borderId="15" applyAlignment="1" pivotButton="0" quotePrefix="0" xfId="0">
      <alignment horizontal="center" vertical="center" wrapText="1"/>
    </xf>
    <xf numFmtId="168" fontId="30" fillId="0" borderId="5" applyAlignment="1" pivotButton="0" quotePrefix="0" xfId="0">
      <alignment horizontal="center" vertical="center" wrapText="1"/>
    </xf>
    <xf numFmtId="168" fontId="30" fillId="0" borderId="5" applyAlignment="1" pivotButton="0" quotePrefix="0" xfId="0">
      <alignment horizontal="center" vertical="center"/>
    </xf>
    <xf numFmtId="168" fontId="36" fillId="0" borderId="5" applyAlignment="1" pivotButton="0" quotePrefix="0" xfId="0">
      <alignment horizontal="center" vertical="center"/>
    </xf>
    <xf numFmtId="169" fontId="37" fillId="2" borderId="4" applyAlignment="1" pivotButton="0" quotePrefix="0" xfId="1">
      <alignment horizontal="center" vertical="center" wrapText="1"/>
    </xf>
    <xf numFmtId="43" fontId="37" fillId="0" borderId="4" applyAlignment="1" pivotButton="0" quotePrefix="0" xfId="1">
      <alignment horizontal="center" vertical="center" wrapText="1"/>
    </xf>
    <xf numFmtId="169" fontId="37" fillId="0" borderId="4" applyAlignment="1" pivotButton="0" quotePrefix="0" xfId="1">
      <alignment horizontal="center" vertical="center" wrapText="1"/>
    </xf>
    <xf numFmtId="168" fontId="40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168" fontId="41" fillId="0" borderId="0" applyAlignment="1" pivotButton="0" quotePrefix="0" xfId="0">
      <alignment horizontal="center"/>
    </xf>
    <xf numFmtId="0" fontId="38" fillId="0" borderId="5" applyAlignment="1" pivotButton="0" quotePrefix="0" xfId="0">
      <alignment horizontal="center" vertical="center" wrapText="1"/>
    </xf>
    <xf numFmtId="168" fontId="18" fillId="0" borderId="0" applyAlignment="1" pivotButton="0" quotePrefix="0" xfId="0">
      <alignment horizontal="center"/>
    </xf>
    <xf numFmtId="168" fontId="22" fillId="0" borderId="0" applyAlignment="1" pivotButton="0" quotePrefix="0" xfId="0">
      <alignment horizontal="center"/>
    </xf>
    <xf numFmtId="168" fontId="33" fillId="0" borderId="5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/>
    </xf>
    <xf numFmtId="1" fontId="37" fillId="0" borderId="4" applyAlignment="1" pivotButton="0" quotePrefix="0" xfId="0">
      <alignment horizontal="center" vertical="center" wrapText="1"/>
    </xf>
    <xf numFmtId="168" fontId="37" fillId="0" borderId="4" applyAlignment="1" pivotButton="0" quotePrefix="0" xfId="0">
      <alignment horizontal="center" vertical="center" wrapText="1"/>
    </xf>
    <xf numFmtId="168" fontId="38" fillId="0" borderId="0" applyAlignment="1" pivotButton="0" quotePrefix="0" xfId="0">
      <alignment horizontal="center" vertical="center" wrapText="1"/>
    </xf>
    <xf numFmtId="168" fontId="38" fillId="0" borderId="0" applyAlignment="1" pivotButton="0" quotePrefix="0" xfId="0">
      <alignment vertical="center" wrapText="1"/>
    </xf>
    <xf numFmtId="1" fontId="38" fillId="0" borderId="5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center"/>
    </xf>
    <xf numFmtId="0" fontId="28" fillId="0" borderId="0" pivotButton="0" quotePrefix="0" xfId="0"/>
    <xf numFmtId="0" fontId="44" fillId="0" borderId="5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/>
    </xf>
    <xf numFmtId="168" fontId="0" fillId="0" borderId="0" pivotButton="0" quotePrefix="0" xfId="0"/>
    <xf numFmtId="0" fontId="45" fillId="0" borderId="0" pivotButton="0" quotePrefix="0" xfId="0"/>
    <xf numFmtId="170" fontId="0" fillId="0" borderId="0" pivotButton="0" quotePrefix="0" xfId="0"/>
    <xf numFmtId="0" fontId="45" fillId="0" borderId="0" applyAlignment="1" pivotButton="0" quotePrefix="0" xfId="0">
      <alignment horizontal="right"/>
    </xf>
    <xf numFmtId="0" fontId="30" fillId="0" borderId="0" applyAlignment="1" pivotButton="0" quotePrefix="0" xfId="0">
      <alignment horizontal="center" vertical="center"/>
    </xf>
    <xf numFmtId="170" fontId="30" fillId="0" borderId="0" pivotButton="0" quotePrefix="0" xfId="1"/>
    <xf numFmtId="0" fontId="30" fillId="0" borderId="0" pivotButton="0" quotePrefix="0" xfId="0"/>
    <xf numFmtId="0" fontId="3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left" vertical="center"/>
    </xf>
    <xf numFmtId="170" fontId="30" fillId="0" borderId="0" applyAlignment="1" pivotButton="0" quotePrefix="0" xfId="1">
      <alignment horizontal="left"/>
    </xf>
    <xf numFmtId="0" fontId="16" fillId="3" borderId="0" applyAlignment="1" pivotButton="0" quotePrefix="0" xfId="0">
      <alignment horizontal="left"/>
    </xf>
    <xf numFmtId="14" fontId="16" fillId="3" borderId="0" applyAlignment="1" pivotButton="0" quotePrefix="0" xfId="0">
      <alignment horizontal="left" vertical="center"/>
    </xf>
    <xf numFmtId="0" fontId="16" fillId="3" borderId="0" applyAlignment="1" pivotButton="0" quotePrefix="0" xfId="0">
      <alignment vertical="center"/>
    </xf>
    <xf numFmtId="170" fontId="16" fillId="3" borderId="0" applyAlignment="1" pivotButton="0" quotePrefix="0" xfId="0">
      <alignment vertical="center"/>
    </xf>
    <xf numFmtId="0" fontId="16" fillId="3" borderId="0" applyAlignment="1" pivotButton="0" quotePrefix="0" xfId="0">
      <alignment horizontal="center" vertical="center"/>
    </xf>
    <xf numFmtId="164" fontId="16" fillId="3" borderId="0" applyAlignment="1" pivotButton="0" quotePrefix="0" xfId="0">
      <alignment horizontal="right" vertical="center"/>
    </xf>
    <xf numFmtId="14" fontId="16" fillId="3" borderId="0" applyAlignment="1" pivotButton="0" quotePrefix="0" xfId="0">
      <alignment horizontal="right" vertical="center"/>
    </xf>
    <xf numFmtId="0" fontId="16" fillId="3" borderId="0" pivotButton="0" quotePrefix="0" xfId="0"/>
    <xf numFmtId="0" fontId="29" fillId="3" borderId="5" applyAlignment="1" pivotButton="0" quotePrefix="0" xfId="0">
      <alignment horizontal="center" vertical="center" wrapText="1"/>
    </xf>
    <xf numFmtId="170" fontId="29" fillId="3" borderId="5" applyAlignment="1" pivotButton="0" quotePrefix="0" xfId="1">
      <alignment horizontal="center" vertical="center" wrapText="1"/>
    </xf>
    <xf numFmtId="0" fontId="18" fillId="2" borderId="5" applyAlignment="1" pivotButton="0" quotePrefix="0" xfId="0">
      <alignment horizontal="center" vertical="top" wrapText="1"/>
    </xf>
    <xf numFmtId="0" fontId="18" fillId="2" borderId="5" applyAlignment="1" pivotButton="0" quotePrefix="0" xfId="0">
      <alignment horizontal="left" vertical="center" wrapText="1"/>
    </xf>
    <xf numFmtId="0" fontId="16" fillId="2" borderId="5" applyAlignment="1" pivotButton="0" quotePrefix="0" xfId="0">
      <alignment horizontal="center" vertical="center" wrapText="1"/>
    </xf>
    <xf numFmtId="170" fontId="16" fillId="2" borderId="5" applyAlignment="1" pivotButton="0" quotePrefix="0" xfId="1">
      <alignment vertical="center" wrapText="1"/>
    </xf>
    <xf numFmtId="3" fontId="16" fillId="2" borderId="5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right"/>
    </xf>
    <xf numFmtId="0" fontId="50" fillId="3" borderId="5" applyAlignment="1" pivotButton="0" quotePrefix="0" xfId="0">
      <alignment horizontal="center" vertical="top" wrapText="1"/>
    </xf>
    <xf numFmtId="0" fontId="16" fillId="3" borderId="5" applyAlignment="1" pivotButton="0" quotePrefix="0" xfId="0">
      <alignment horizontal="center" vertical="center" wrapText="1"/>
    </xf>
    <xf numFmtId="170" fontId="16" fillId="3" borderId="5" applyAlignment="1" pivotButton="0" quotePrefix="0" xfId="0">
      <alignment horizontal="center" vertical="center" wrapText="1"/>
    </xf>
    <xf numFmtId="3" fontId="16" fillId="3" borderId="5" applyAlignment="1" pivotButton="0" quotePrefix="0" xfId="0">
      <alignment horizontal="center" vertical="center" wrapText="1"/>
    </xf>
    <xf numFmtId="3" fontId="16" fillId="3" borderId="1" applyAlignment="1" pivotButton="0" quotePrefix="0" xfId="0">
      <alignment horizontal="center" vertical="center" wrapText="1"/>
    </xf>
    <xf numFmtId="0" fontId="51" fillId="2" borderId="5" applyAlignment="1" pivotButton="0" quotePrefix="0" xfId="0">
      <alignment horizontal="center" vertical="center" wrapText="1"/>
    </xf>
    <xf numFmtId="170" fontId="16" fillId="2" borderId="5" applyAlignment="1" pivotButton="0" quotePrefix="0" xfId="0">
      <alignment horizontal="center" vertical="center" wrapText="1"/>
    </xf>
    <xf numFmtId="3" fontId="16" fillId="2" borderId="1" applyAlignment="1" pivotButton="0" quotePrefix="0" xfId="0">
      <alignment horizontal="center" vertical="center" wrapText="1"/>
    </xf>
    <xf numFmtId="0" fontId="50" fillId="3" borderId="5" applyAlignment="1" pivotButton="0" quotePrefix="0" xfId="0">
      <alignment horizontal="center" vertical="center" wrapText="1"/>
    </xf>
    <xf numFmtId="164" fontId="16" fillId="2" borderId="5" applyAlignment="1" pivotButton="0" quotePrefix="0" xfId="0">
      <alignment horizontal="center" vertical="center" wrapText="1"/>
    </xf>
    <xf numFmtId="0" fontId="16" fillId="3" borderId="5" applyAlignment="1" pivotButton="0" quotePrefix="0" xfId="0">
      <alignment horizontal="center" vertical="top" wrapText="1"/>
    </xf>
    <xf numFmtId="164" fontId="16" fillId="3" borderId="5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left" vertical="center" wrapText="1"/>
    </xf>
    <xf numFmtId="0" fontId="18" fillId="3" borderId="1" applyAlignment="1" pivotButton="0" quotePrefix="0" xfId="0">
      <alignment horizontal="center" vertical="center" wrapText="1"/>
    </xf>
    <xf numFmtId="0" fontId="18" fillId="3" borderId="5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center" vertical="center" wrapText="1"/>
    </xf>
    <xf numFmtId="164" fontId="16" fillId="3" borderId="1" applyAlignment="1" pivotButton="0" quotePrefix="0" xfId="0">
      <alignment horizontal="center" vertical="center" wrapText="1"/>
    </xf>
    <xf numFmtId="0" fontId="18" fillId="2" borderId="5" applyAlignment="1" pivotButton="0" quotePrefix="0" xfId="0">
      <alignment horizontal="center" vertical="center" wrapText="1"/>
    </xf>
    <xf numFmtId="0" fontId="53" fillId="2" borderId="0" pivotButton="0" quotePrefix="0" xfId="0"/>
    <xf numFmtId="170" fontId="53" fillId="2" borderId="0" pivotButton="0" quotePrefix="0" xfId="0"/>
    <xf numFmtId="0" fontId="53" fillId="2" borderId="0" applyAlignment="1" pivotButton="0" quotePrefix="0" xfId="0">
      <alignment horizontal="center"/>
    </xf>
    <xf numFmtId="3" fontId="54" fillId="9" borderId="0" applyAlignment="1" pivotButton="0" quotePrefix="0" xfId="0">
      <alignment horizontal="center"/>
    </xf>
    <xf numFmtId="0" fontId="53" fillId="3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4" fontId="16" fillId="3" borderId="0" applyAlignment="1" pivotButton="0" quotePrefix="0" xfId="0">
      <alignment vertical="center"/>
    </xf>
    <xf numFmtId="3" fontId="0" fillId="0" borderId="0" pivotButton="0" quotePrefix="0" xfId="0"/>
    <xf numFmtId="0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 vertical="center"/>
    </xf>
    <xf numFmtId="164" fontId="28" fillId="0" borderId="0" applyAlignment="1" pivotButton="0" quotePrefix="0" xfId="1">
      <alignment horizontal="center" vertical="center"/>
    </xf>
    <xf numFmtId="0" fontId="29" fillId="0" borderId="1" applyAlignment="1" pivotButton="0" quotePrefix="0" xfId="0">
      <alignment horizontal="center" vertical="center" wrapText="1"/>
    </xf>
    <xf numFmtId="0" fontId="29" fillId="0" borderId="10" applyAlignment="1" pivotButton="0" quotePrefix="0" xfId="0">
      <alignment horizontal="center" vertical="center" wrapText="1"/>
    </xf>
    <xf numFmtId="14" fontId="31" fillId="0" borderId="1" applyAlignment="1" pivotButton="0" quotePrefix="0" xfId="0">
      <alignment horizontal="center" vertical="center" wrapText="1"/>
    </xf>
    <xf numFmtId="14" fontId="31" fillId="0" borderId="10" applyAlignment="1" pivotButton="0" quotePrefix="0" xfId="0">
      <alignment horizontal="center" vertical="center" wrapText="1"/>
    </xf>
    <xf numFmtId="14" fontId="34" fillId="0" borderId="10" applyAlignment="1" pivotButton="0" quotePrefix="0" xfId="0">
      <alignment horizontal="center" vertical="center" wrapText="1"/>
    </xf>
    <xf numFmtId="14" fontId="34" fillId="0" borderId="4" applyAlignment="1" pivotButton="0" quotePrefix="0" xfId="0">
      <alignment horizontal="center" vertical="center" wrapText="1"/>
    </xf>
    <xf numFmtId="167" fontId="31" fillId="0" borderId="1" applyAlignment="1" pivotButton="0" quotePrefix="0" xfId="0">
      <alignment horizontal="center" vertical="center" wrapText="1"/>
    </xf>
    <xf numFmtId="167" fontId="31" fillId="0" borderId="10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center" vertical="center" wrapText="1"/>
    </xf>
    <xf numFmtId="0" fontId="31" fillId="0" borderId="10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2" fillId="0" borderId="10" applyAlignment="1" pivotButton="0" quotePrefix="0" xfId="0">
      <alignment horizontal="center" vertical="center" wrapText="1"/>
    </xf>
    <xf numFmtId="0" fontId="31" fillId="0" borderId="2" applyAlignment="1" pivotButton="0" quotePrefix="0" xfId="0">
      <alignment horizontal="center" vertical="center" wrapText="1"/>
    </xf>
    <xf numFmtId="0" fontId="31" fillId="0" borderId="13" applyAlignment="1" pivotButton="0" quotePrefix="0" xfId="0">
      <alignment horizontal="center" vertical="center" wrapText="1"/>
    </xf>
    <xf numFmtId="0" fontId="29" fillId="0" borderId="3" applyAlignment="1" pivotButton="0" quotePrefix="0" xfId="0">
      <alignment horizontal="center" vertical="center" wrapText="1"/>
    </xf>
    <xf numFmtId="0" fontId="29" fillId="0" borderId="15" applyAlignment="1" pivotButton="0" quotePrefix="0" xfId="0">
      <alignment horizontal="center" vertical="center" wrapText="1"/>
    </xf>
    <xf numFmtId="168" fontId="29" fillId="0" borderId="1" applyAlignment="1" pivotButton="0" quotePrefix="0" xfId="0">
      <alignment horizontal="center" vertical="center" wrapText="1"/>
    </xf>
    <xf numFmtId="168" fontId="29" fillId="0" borderId="10" applyAlignment="1" pivotButton="0" quotePrefix="0" xfId="0">
      <alignment horizontal="center" vertical="center" wrapText="1"/>
    </xf>
    <xf numFmtId="0" fontId="29" fillId="0" borderId="2" applyAlignment="1" pivotButton="0" quotePrefix="0" xfId="0">
      <alignment horizontal="center" vertical="center" wrapText="1"/>
    </xf>
    <xf numFmtId="164" fontId="29" fillId="0" borderId="11" applyAlignment="1" pivotButton="0" quotePrefix="0" xfId="1">
      <alignment horizontal="center" vertical="center" wrapText="1"/>
    </xf>
    <xf numFmtId="0" fontId="29" fillId="0" borderId="11" applyAlignment="1" pivotButton="0" quotePrefix="0" xfId="0">
      <alignment horizontal="center" vertical="center" wrapText="1"/>
    </xf>
    <xf numFmtId="0" fontId="29" fillId="0" borderId="12" applyAlignment="1" pivotButton="0" quotePrefix="0" xfId="0">
      <alignment horizontal="center" vertical="center" wrapText="1"/>
    </xf>
    <xf numFmtId="164" fontId="29" fillId="0" borderId="8" applyAlignment="1" pivotButton="0" quotePrefix="0" xfId="1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29" fillId="0" borderId="14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center"/>
    </xf>
    <xf numFmtId="168" fontId="43" fillId="0" borderId="0" applyAlignment="1" pivotButton="0" quotePrefix="0" xfId="0">
      <alignment horizontal="center"/>
    </xf>
    <xf numFmtId="0" fontId="43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 vertical="center"/>
    </xf>
    <xf numFmtId="164" fontId="27" fillId="0" borderId="0" applyAlignment="1" pivotButton="0" quotePrefix="0" xfId="1">
      <alignment horizontal="center" vertical="center"/>
    </xf>
    <xf numFmtId="14" fontId="29" fillId="0" borderId="0" applyAlignment="1" pivotButton="0" quotePrefix="0" xfId="0">
      <alignment horizontal="left"/>
    </xf>
    <xf numFmtId="14" fontId="29" fillId="0" borderId="0" applyAlignment="1" pivotButton="0" quotePrefix="0" xfId="0">
      <alignment horizontal="center" vertical="center"/>
    </xf>
    <xf numFmtId="14" fontId="28" fillId="0" borderId="0" applyAlignment="1" pivotButton="0" quotePrefix="0" xfId="0">
      <alignment horizontal="left"/>
    </xf>
    <xf numFmtId="164" fontId="29" fillId="0" borderId="0" applyAlignment="1" pivotButton="0" quotePrefix="0" xfId="1">
      <alignment horizontal="center" vertical="center"/>
    </xf>
    <xf numFmtId="14" fontId="29" fillId="0" borderId="0" applyAlignment="1" pivotButton="0" quotePrefix="0" xfId="0">
      <alignment horizontal="center"/>
    </xf>
    <xf numFmtId="0" fontId="37" fillId="0" borderId="4" applyAlignment="1" pivotButton="0" quotePrefix="0" xfId="0">
      <alignment horizontal="center" vertical="center" wrapText="1"/>
    </xf>
    <xf numFmtId="0" fontId="28" fillId="0" borderId="4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29" fillId="0" borderId="0" applyAlignment="1" pivotButton="0" quotePrefix="0" xfId="0">
      <alignment horizontal="center"/>
    </xf>
    <xf numFmtId="170" fontId="29" fillId="0" borderId="0" applyAlignment="1" pivotButton="0" quotePrefix="0" xfId="0">
      <alignment horizontal="center"/>
    </xf>
    <xf numFmtId="0" fontId="33" fillId="0" borderId="0" applyAlignment="1" pivotButton="0" quotePrefix="0" xfId="0">
      <alignment horizontal="center"/>
    </xf>
    <xf numFmtId="0" fontId="52" fillId="9" borderId="0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 wrapText="1"/>
    </xf>
    <xf numFmtId="0" fontId="18" fillId="3" borderId="10" applyAlignment="1" pivotButton="0" quotePrefix="0" xfId="0">
      <alignment horizontal="center" vertical="center" wrapText="1"/>
    </xf>
    <xf numFmtId="0" fontId="46" fillId="0" borderId="0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 vertical="center"/>
    </xf>
    <xf numFmtId="170" fontId="46" fillId="0" borderId="0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/>
    </xf>
    <xf numFmtId="0" fontId="49" fillId="0" borderId="0" applyAlignment="1" pivotButton="0" quotePrefix="0" xfId="0">
      <alignment horizontal="center"/>
    </xf>
    <xf numFmtId="170" fontId="48" fillId="0" borderId="0" applyAlignment="1" pivotButton="0" quotePrefix="0" xfId="0">
      <alignment horizontal="center"/>
    </xf>
    <xf numFmtId="0" fontId="38" fillId="0" borderId="6" applyAlignment="1" pivotButton="0" quotePrefix="0" xfId="0">
      <alignment horizontal="center" vertical="center" wrapText="1"/>
    </xf>
    <xf numFmtId="0" fontId="38" fillId="0" borderId="7" applyAlignment="1" pivotButton="0" quotePrefix="0" xfId="0">
      <alignment horizontal="center" vertical="center" wrapText="1"/>
    </xf>
    <xf numFmtId="164" fontId="38" fillId="0" borderId="7" applyAlignment="1" pivotButton="0" quotePrefix="0" xfId="1">
      <alignment horizontal="center" vertical="center" wrapText="1"/>
    </xf>
    <xf numFmtId="0" fontId="38" fillId="0" borderId="9" applyAlignment="1" pivotButton="0" quotePrefix="0" xfId="0">
      <alignment horizontal="center" vertical="center" wrapText="1"/>
    </xf>
    <xf numFmtId="0" fontId="38" fillId="0" borderId="5" applyAlignment="1" pivotButton="0" quotePrefix="0" xfId="0">
      <alignment horizontal="center" vertical="center" wrapText="1"/>
    </xf>
    <xf numFmtId="1" fontId="38" fillId="0" borderId="0" applyAlignment="1" pivotButton="0" quotePrefix="0" xfId="0">
      <alignment horizontal="center" vertical="center" wrapText="1"/>
    </xf>
    <xf numFmtId="1" fontId="29" fillId="0" borderId="5" applyAlignment="1" pivotButton="0" quotePrefix="0" xfId="0">
      <alignment horizontal="center" vertical="center" wrapText="1"/>
    </xf>
    <xf numFmtId="0" fontId="17" fillId="6" borderId="5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left"/>
    </xf>
    <xf numFmtId="0" fontId="18" fillId="0" borderId="6" applyAlignment="1" pivotButton="0" quotePrefix="0" xfId="0">
      <alignment horizontal="left"/>
    </xf>
    <xf numFmtId="0" fontId="18" fillId="0" borderId="7" applyAlignment="1" pivotButton="0" quotePrefix="0" xfId="0">
      <alignment horizontal="left"/>
    </xf>
    <xf numFmtId="0" fontId="18" fillId="0" borderId="9" applyAlignment="1" pivotButton="0" quotePrefix="0" xfId="0">
      <alignment horizontal="left"/>
    </xf>
    <xf numFmtId="0" fontId="21" fillId="5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6" fillId="5" borderId="8" applyAlignment="1" pivotButton="0" quotePrefix="0" xfId="0">
      <alignment horizontal="left" vertical="center" wrapText="1"/>
    </xf>
    <xf numFmtId="0" fontId="16" fillId="5" borderId="8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7" fillId="6" borderId="7" applyAlignment="1" pivotButton="0" quotePrefix="0" xfId="0">
      <alignment horizontal="center" vertical="center" wrapText="1"/>
    </xf>
    <xf numFmtId="0" fontId="17" fillId="6" borderId="9" applyAlignment="1" pivotButton="0" quotePrefix="0" xfId="0">
      <alignment horizontal="center" vertical="center" wrapText="1"/>
    </xf>
    <xf numFmtId="171" fontId="17" fillId="7" borderId="6" applyAlignment="1" pivotButton="0" quotePrefix="0" xfId="0">
      <alignment horizontal="center" vertical="center" wrapText="1"/>
    </xf>
    <xf numFmtId="171" fontId="17" fillId="7" borderId="7" applyAlignment="1" pivotButton="0" quotePrefix="0" xfId="0">
      <alignment horizontal="center" vertical="center" wrapText="1"/>
    </xf>
    <xf numFmtId="171" fontId="17" fillId="7" borderId="9" applyAlignment="1" pivotButton="0" quotePrefix="0" xfId="0">
      <alignment horizontal="center" vertical="center" wrapText="1"/>
    </xf>
    <xf numFmtId="0" fontId="17" fillId="6" borderId="5" applyAlignment="1" pivotButton="0" quotePrefix="0" xfId="0">
      <alignment horizontal="center" vertical="center"/>
    </xf>
    <xf numFmtId="14" fontId="16" fillId="3" borderId="10" applyAlignment="1" pivotButton="0" quotePrefix="0" xfId="0">
      <alignment horizontal="center" vertical="center"/>
    </xf>
    <xf numFmtId="14" fontId="16" fillId="3" borderId="4" applyAlignment="1" pivotButton="0" quotePrefix="0" xfId="0">
      <alignment horizontal="center" vertical="center"/>
    </xf>
    <xf numFmtId="49" fontId="17" fillId="6" borderId="5" applyAlignment="1" pivotButton="0" quotePrefix="0" xfId="0">
      <alignment horizontal="center" vertical="center" wrapText="1"/>
    </xf>
    <xf numFmtId="172" fontId="17" fillId="6" borderId="5" applyAlignment="1" pivotButton="0" quotePrefix="0" xfId="0">
      <alignment horizontal="center" vertical="center" wrapText="1"/>
    </xf>
    <xf numFmtId="14" fontId="16" fillId="3" borderId="5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 wrapText="1"/>
    </xf>
    <xf numFmtId="0" fontId="11" fillId="4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6" fillId="0" borderId="7" applyAlignment="1" pivotButton="0" quotePrefix="0" xfId="0">
      <alignment horizontal="justify" vertical="center"/>
    </xf>
    <xf numFmtId="0" fontId="6" fillId="0" borderId="7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170" fontId="0" fillId="0" borderId="0" pivotButton="0" quotePrefix="0" xfId="0"/>
    <xf numFmtId="170" fontId="30" fillId="0" borderId="0" pivotButton="0" quotePrefix="0" xfId="1"/>
    <xf numFmtId="170" fontId="30" fillId="0" borderId="0" applyAlignment="1" pivotButton="0" quotePrefix="0" xfId="1">
      <alignment horizontal="left"/>
    </xf>
    <xf numFmtId="170" fontId="16" fillId="3" borderId="0" applyAlignment="1" pivotButton="0" quotePrefix="0" xfId="0">
      <alignment vertical="center"/>
    </xf>
    <xf numFmtId="164" fontId="16" fillId="3" borderId="0" applyAlignment="1" pivotButton="0" quotePrefix="0" xfId="0">
      <alignment horizontal="right" vertical="center"/>
    </xf>
    <xf numFmtId="164" fontId="16" fillId="3" borderId="0" applyAlignment="1" pivotButton="0" quotePrefix="0" xfId="0">
      <alignment vertical="center"/>
    </xf>
    <xf numFmtId="170" fontId="29" fillId="3" borderId="5" applyAlignment="1" pivotButton="0" quotePrefix="0" xfId="1">
      <alignment horizontal="center" vertical="center" wrapText="1"/>
    </xf>
    <xf numFmtId="170" fontId="16" fillId="2" borderId="5" applyAlignment="1" pivotButton="0" quotePrefix="0" xfId="1">
      <alignment vertical="center" wrapText="1"/>
    </xf>
    <xf numFmtId="170" fontId="16" fillId="3" borderId="5" applyAlignment="1" pivotButton="0" quotePrefix="0" xfId="0">
      <alignment horizontal="center" vertical="center" wrapText="1"/>
    </xf>
    <xf numFmtId="170" fontId="16" fillId="2" borderId="5" applyAlignment="1" pivotButton="0" quotePrefix="0" xfId="0">
      <alignment horizontal="center" vertical="center" wrapText="1"/>
    </xf>
    <xf numFmtId="164" fontId="16" fillId="2" borderId="5" applyAlignment="1" pivotButton="0" quotePrefix="0" xfId="0">
      <alignment horizontal="center" vertical="center" wrapText="1"/>
    </xf>
    <xf numFmtId="164" fontId="16" fillId="3" borderId="5" applyAlignment="1" pivotButton="0" quotePrefix="0" xfId="0">
      <alignment horizontal="center" vertical="center" wrapText="1"/>
    </xf>
    <xf numFmtId="0" fontId="0" fillId="0" borderId="10" pivotButton="0" quotePrefix="0" xfId="0"/>
    <xf numFmtId="164" fontId="16" fillId="3" borderId="1" applyAlignment="1" pivotButton="0" quotePrefix="0" xfId="0">
      <alignment horizontal="center" vertical="center" wrapText="1"/>
    </xf>
    <xf numFmtId="170" fontId="53" fillId="2" borderId="0" pivotButton="0" quotePrefix="0" xfId="0"/>
    <xf numFmtId="164" fontId="0" fillId="0" borderId="0" applyAlignment="1" pivotButton="0" quotePrefix="0" xfId="0">
      <alignment horizontal="center" vertical="center"/>
    </xf>
    <xf numFmtId="168" fontId="18" fillId="0" borderId="0" applyAlignment="1" pivotButton="0" quotePrefix="0" xfId="0">
      <alignment horizontal="center"/>
    </xf>
    <xf numFmtId="167" fontId="22" fillId="0" borderId="0" applyAlignment="1" pivotButton="0" quotePrefix="0" xfId="0">
      <alignment horizontal="center" vertical="center"/>
    </xf>
    <xf numFmtId="167" fontId="22" fillId="0" borderId="0" applyAlignment="1" pivotButton="0" quotePrefix="0" xfId="0">
      <alignment horizontal="center"/>
    </xf>
    <xf numFmtId="164" fontId="22" fillId="0" borderId="0" applyAlignment="1" pivotButton="0" quotePrefix="0" xfId="1">
      <alignment horizontal="center" vertical="center"/>
    </xf>
    <xf numFmtId="168" fontId="22" fillId="0" borderId="0" applyAlignment="1" pivotButton="0" quotePrefix="0" xfId="0">
      <alignment horizontal="center"/>
    </xf>
    <xf numFmtId="167" fontId="29" fillId="0" borderId="5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3" pivotButton="0" quotePrefix="0" xfId="0"/>
    <xf numFmtId="168" fontId="29" fillId="0" borderId="1" applyAlignment="1" pivotButton="0" quotePrefix="0" xfId="0">
      <alignment horizontal="center" vertical="center" wrapText="1"/>
    </xf>
    <xf numFmtId="167" fontId="31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3" pivotButton="0" quotePrefix="0" xfId="0"/>
    <xf numFmtId="164" fontId="29" fillId="0" borderId="1" applyAlignment="1" pivotButton="0" quotePrefix="0" xfId="1">
      <alignment horizontal="center" vertical="center" wrapText="1"/>
    </xf>
    <xf numFmtId="167" fontId="34" fillId="0" borderId="5" applyAlignment="1" pivotButton="0" quotePrefix="0" xfId="0">
      <alignment horizontal="center" vertical="center" wrapText="1"/>
    </xf>
    <xf numFmtId="164" fontId="30" fillId="0" borderId="5" applyAlignment="1" pivotButton="0" quotePrefix="0" xfId="1">
      <alignment horizontal="center" vertical="center" wrapText="1"/>
    </xf>
    <xf numFmtId="168" fontId="30" fillId="0" borderId="5" applyAlignment="1" pivotButton="0" quotePrefix="0" xfId="0">
      <alignment horizontal="center" vertical="center" wrapText="1"/>
    </xf>
    <xf numFmtId="168" fontId="30" fillId="0" borderId="5" applyAlignment="1" pivotButton="0" quotePrefix="0" xfId="0">
      <alignment horizontal="center" vertical="center"/>
    </xf>
    <xf numFmtId="168" fontId="36" fillId="0" borderId="5" applyAlignment="1" pivotButton="0" quotePrefix="0" xfId="0">
      <alignment horizontal="center" vertical="center"/>
    </xf>
    <xf numFmtId="168" fontId="33" fillId="0" borderId="5" applyAlignment="1" pivotButton="0" quotePrefix="0" xfId="0">
      <alignment horizontal="center" vertical="center" wrapText="1"/>
    </xf>
    <xf numFmtId="0" fontId="0" fillId="0" borderId="4" pivotButton="0" quotePrefix="0" xfId="0"/>
    <xf numFmtId="164" fontId="37" fillId="0" borderId="4" applyAlignment="1" pivotButton="0" quotePrefix="0" xfId="1">
      <alignment horizontal="center" vertical="center" wrapText="1"/>
    </xf>
    <xf numFmtId="167" fontId="38" fillId="0" borderId="0" applyAlignment="1" pivotButton="0" quotePrefix="0" xfId="0">
      <alignment horizontal="center" vertical="center" wrapText="1"/>
    </xf>
    <xf numFmtId="164" fontId="38" fillId="0" borderId="0" applyAlignment="1" pivotButton="0" quotePrefix="0" xfId="1">
      <alignment horizontal="center" vertical="center" wrapText="1"/>
    </xf>
    <xf numFmtId="169" fontId="37" fillId="2" borderId="4" applyAlignment="1" pivotButton="0" quotePrefix="0" xfId="1">
      <alignment horizontal="center" vertical="center" wrapText="1"/>
    </xf>
    <xf numFmtId="43" fontId="37" fillId="0" borderId="4" applyAlignment="1" pivotButton="0" quotePrefix="0" xfId="1">
      <alignment horizontal="center" vertical="center" wrapText="1"/>
    </xf>
    <xf numFmtId="169" fontId="37" fillId="0" borderId="4" applyAlignment="1" pivotButton="0" quotePrefix="0" xfId="1">
      <alignment horizontal="center" vertical="center" wrapText="1"/>
    </xf>
    <xf numFmtId="168" fontId="37" fillId="0" borderId="4" applyAlignment="1" pivotButton="0" quotePrefix="0" xfId="0">
      <alignment horizontal="center" vertical="center" wrapText="1"/>
    </xf>
    <xf numFmtId="168" fontId="40" fillId="0" borderId="0" applyAlignment="1" pivotButton="0" quotePrefix="0" xfId="0">
      <alignment horizontal="center"/>
    </xf>
    <xf numFmtId="168" fontId="38" fillId="0" borderId="0" applyAlignment="1" pivotButton="0" quotePrefix="0" xfId="0">
      <alignment horizontal="center" vertical="center" wrapText="1"/>
    </xf>
    <xf numFmtId="168" fontId="41" fillId="0" borderId="0" applyAlignment="1" pivotButton="0" quotePrefix="0" xfId="0">
      <alignment horizontal="center"/>
    </xf>
    <xf numFmtId="168" fontId="38" fillId="0" borderId="0" applyAlignment="1" pivotButton="0" quotePrefix="0" xfId="0">
      <alignment vertical="center" wrapText="1"/>
    </xf>
    <xf numFmtId="168" fontId="43" fillId="0" borderId="0" applyAlignment="1" pivotButton="0" quotePrefix="0" xfId="0">
      <alignment horizontal="center"/>
    </xf>
    <xf numFmtId="168" fontId="0" fillId="0" borderId="0" pivotButton="0" quotePrefix="0" xfId="0"/>
    <xf numFmtId="0" fontId="57" fillId="0" borderId="4" pivotButton="0" quotePrefix="0" xfId="0"/>
    <xf numFmtId="0" fontId="57" fillId="0" borderId="0" pivotButton="0" quotePrefix="0" xfId="0"/>
    <xf numFmtId="0" fontId="0" fillId="0" borderId="7" pivotButton="0" quotePrefix="0" xfId="0"/>
    <xf numFmtId="0" fontId="0" fillId="0" borderId="9" pivotButton="0" quotePrefix="0" xfId="0"/>
    <xf numFmtId="172" fontId="17" fillId="6" borderId="5" applyAlignment="1" pivotButton="0" quotePrefix="0" xfId="0">
      <alignment horizontal="center" vertical="center" wrapText="1"/>
    </xf>
    <xf numFmtId="171" fontId="17" fillId="7" borderId="5" applyAlignment="1" pivotButton="0" quotePrefix="0" xfId="0">
      <alignment horizontal="center" vertical="center" wrapText="1"/>
    </xf>
    <xf numFmtId="166" fontId="15" fillId="0" borderId="1" applyAlignment="1" pivotButton="0" quotePrefix="0" xfId="0">
      <alignment horizontal="center" vertical="center"/>
    </xf>
    <xf numFmtId="165" fontId="23" fillId="0" borderId="0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164" fontId="4" fillId="3" borderId="5" applyAlignment="1" pivotButton="0" quotePrefix="0" xfId="1">
      <alignment horizontal="center" vertical="center" wrapText="1"/>
    </xf>
    <xf numFmtId="164" fontId="4" fillId="3" borderId="5" applyAlignment="1" pivotButton="0" quotePrefix="0" xfId="1">
      <alignment horizontal="center" vertical="center"/>
    </xf>
    <xf numFmtId="164" fontId="4" fillId="0" borderId="5" applyAlignment="1" pivotButton="0" quotePrefix="0" xfId="1">
      <alignment horizontal="center" vertical="center" wrapText="1"/>
    </xf>
    <xf numFmtId="164" fontId="4" fillId="0" borderId="5" applyAlignment="1" pivotButton="0" quotePrefix="0" xfId="1">
      <alignment horizontal="center" vertical="center"/>
    </xf>
    <xf numFmtId="164" fontId="9" fillId="0" borderId="5" applyAlignment="1" pivotButton="0" quotePrefix="0" xfId="1">
      <alignment horizontal="right" vertical="center"/>
    </xf>
    <xf numFmtId="164" fontId="9" fillId="0" borderId="5" applyAlignment="1" pivotButton="0" quotePrefix="0" xfId="1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</cellXfs>
  <cellStyles count="5">
    <cellStyle name="Bình thường" xfId="0" builtinId="0"/>
    <cellStyle name="Dấu phẩy" xfId="1" builtinId="3"/>
    <cellStyle name="Comma 2" xfId="2"/>
    <cellStyle name="Normal 2" xfId="3"/>
    <cellStyle name="Normal 8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192405</colOff>
      <row>4</row>
      <rowOff>43180</rowOff>
    </from>
    <to>
      <col>1</col>
      <colOff>647065</colOff>
      <row>7</row>
      <rowOff>6350</rowOff>
    </to>
    <pic>
      <nvPicPr>
        <cNvPr id="2" name="Picture 64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2405" y="1027430"/>
          <a:ext cx="1002030" cy="769620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topLeftCell="A10" zoomScale="60" zoomScaleNormal="60" workbookViewId="0">
      <selection activeCell="D31" sqref="D31"/>
    </sheetView>
  </sheetViews>
  <sheetFormatPr baseColWidth="8" defaultColWidth="8.796875" defaultRowHeight="13.8"/>
  <cols>
    <col width="7.796875" customWidth="1" min="1" max="1"/>
    <col width="47.5" customWidth="1" min="2" max="2"/>
    <col width="18.296875" customWidth="1" min="3" max="3"/>
    <col width="15.296875" customWidth="1" style="297" min="4" max="4"/>
    <col width="15.5" customWidth="1" style="1" min="5" max="5"/>
    <col width="21.5" customWidth="1" style="1" min="6" max="6"/>
    <col width="23" customWidth="1" style="1" min="7" max="7"/>
    <col width="20.59765625" customWidth="1" style="10" min="8" max="8"/>
    <col width="19.09765625" customWidth="1" min="9" max="9"/>
    <col width="18.8984375" customWidth="1" min="10" max="10"/>
    <col width="19.09765625" customWidth="1" min="11" max="11"/>
  </cols>
  <sheetData>
    <row r="1" ht="21" customFormat="1" customHeight="1" s="149">
      <c r="A1" s="250" t="n"/>
      <c r="H1" s="151" t="n"/>
    </row>
    <row r="2" ht="21" customFormat="1" customHeight="1" s="149">
      <c r="A2" s="253" t="inlineStr">
        <is>
          <t>Công ty CPXD&amp;TM Gia Khánh</t>
        </is>
      </c>
      <c r="C2" s="253" t="inlineStr">
        <is>
          <t>Cộng hoà xã hội chủ nghĩa Việt Nam</t>
        </is>
      </c>
      <c r="H2" s="151" t="n"/>
    </row>
    <row r="3" ht="21" customFormat="1" customHeight="1" s="149">
      <c r="A3" s="254" t="inlineStr">
        <is>
          <t>Tam Hiệp - Phúc Thọ - Hà Nội</t>
        </is>
      </c>
      <c r="C3" s="253" t="inlineStr">
        <is>
          <t>Độc lập - Tự do - Hạnh phúc</t>
        </is>
      </c>
      <c r="H3" s="151" t="n"/>
    </row>
    <row r="4">
      <c r="A4" s="242" t="n"/>
      <c r="C4" s="152" t="n"/>
      <c r="D4" s="298" t="n"/>
      <c r="E4" s="243" t="n"/>
      <c r="F4" s="243" t="n"/>
      <c r="G4" s="243" t="n"/>
    </row>
    <row r="5">
      <c r="A5" s="243" t="n"/>
      <c r="C5" s="152" t="n"/>
      <c r="D5" s="298" t="n"/>
      <c r="E5" s="243" t="n"/>
      <c r="F5" s="243" t="n"/>
      <c r="G5" s="243" t="n"/>
    </row>
    <row r="6" ht="31.05" customHeight="1">
      <c r="A6" s="154" t="n"/>
      <c r="B6" s="244" t="inlineStr">
        <is>
          <t xml:space="preserve"> NHÀ MÁY CÔNG NGHỆ RED BOARD VIỆT NAM </t>
        </is>
      </c>
    </row>
    <row r="7" ht="18" customHeight="1">
      <c r="A7" s="154" t="n"/>
      <c r="B7" s="246" t="n"/>
    </row>
    <row r="8">
      <c r="A8" s="155" t="n"/>
      <c r="B8" s="156" t="n"/>
      <c r="C8" s="152" t="n"/>
      <c r="D8" s="299" t="n"/>
      <c r="E8" s="243" t="n"/>
      <c r="F8" s="243" t="n"/>
      <c r="G8" s="155" t="n"/>
    </row>
    <row r="9" ht="15.6" customHeight="1">
      <c r="A9" s="158" t="inlineStr">
        <is>
          <t xml:space="preserve">Chuyển máy đến: </t>
        </is>
      </c>
      <c r="B9" s="159" t="n"/>
      <c r="C9" s="160" t="inlineStr">
        <is>
          <t>Tổ trưởng máy :</t>
        </is>
      </c>
      <c r="D9" s="300" t="inlineStr">
        <is>
          <t>CHU THỜI QUYẾT</t>
        </is>
      </c>
      <c r="E9" s="162" t="n"/>
      <c r="F9" s="162" t="n"/>
      <c r="G9" s="162" t="n"/>
      <c r="H9" s="301" t="n"/>
      <c r="I9" s="302" t="n"/>
      <c r="J9" s="302" t="n"/>
    </row>
    <row r="10" ht="27" customHeight="1">
      <c r="A10" s="158" t="inlineStr">
        <is>
          <t>Ngày chuyển máy</t>
        </is>
      </c>
      <c r="B10" s="164" t="n"/>
      <c r="C10" s="160" t="inlineStr">
        <is>
          <t>Phụ trách           ĐỖ VĂN ĐÔNG</t>
        </is>
      </c>
      <c r="D10" s="300" t="n"/>
      <c r="E10" s="165" t="n"/>
      <c r="F10" s="165" t="n"/>
      <c r="G10" s="165" t="n"/>
    </row>
    <row r="11" ht="46.95" customFormat="1" customHeight="1" s="85">
      <c r="A11" s="166" t="inlineStr">
        <is>
          <t>STT</t>
        </is>
      </c>
      <c r="B11" s="166" t="inlineStr">
        <is>
          <t>Hạng mục công việc</t>
        </is>
      </c>
      <c r="C11" s="166" t="inlineStr">
        <is>
          <t>ĐVT(M)</t>
        </is>
      </c>
      <c r="D11" s="303" t="inlineStr">
        <is>
          <t>Khối lượng</t>
        </is>
      </c>
      <c r="E11" s="166" t="inlineStr">
        <is>
          <t>Đơn  giá</t>
        </is>
      </c>
      <c r="F11" s="166" t="inlineStr">
        <is>
          <t>Thành tiền</t>
        </is>
      </c>
      <c r="G11" s="166" t="inlineStr">
        <is>
          <t>Ghi chú</t>
        </is>
      </c>
      <c r="H11" s="10" t="n"/>
    </row>
    <row r="12" ht="25.95" customHeight="1">
      <c r="A12" s="168" t="inlineStr">
        <is>
          <t>I</t>
        </is>
      </c>
      <c r="B12" s="169" t="inlineStr">
        <is>
          <t>ÉP ĐẠI TRÀ</t>
        </is>
      </c>
      <c r="C12" s="170" t="n"/>
      <c r="D12" s="304" t="n"/>
      <c r="E12" s="172" t="n"/>
      <c r="F12" s="172" t="n"/>
      <c r="G12" s="172" t="n"/>
      <c r="H12" s="173" t="n"/>
      <c r="I12" s="9" t="n"/>
      <c r="J12" s="9" t="n"/>
      <c r="K12" s="9" t="n"/>
      <c r="L12" s="9" t="n"/>
      <c r="M12" s="9" t="n"/>
    </row>
    <row r="13" ht="25.95" customHeight="1">
      <c r="A13" s="174" t="n">
        <v>1</v>
      </c>
      <c r="B13" s="175" t="inlineStr">
        <is>
          <t>D350</t>
        </is>
      </c>
      <c r="C13" s="175" t="inlineStr">
        <is>
          <t>md</t>
        </is>
      </c>
      <c r="D13" s="305">
        <f>'ÉP D350'!$V$24</f>
        <v/>
      </c>
      <c r="E13" s="177" t="n">
        <v>9000</v>
      </c>
      <c r="F13" s="177">
        <f>D13*E13</f>
        <v/>
      </c>
      <c r="G13" s="178" t="n"/>
    </row>
    <row r="14" ht="25.95" customHeight="1">
      <c r="A14" s="174" t="n">
        <v>2</v>
      </c>
      <c r="B14" s="175" t="inlineStr">
        <is>
          <t>D300</t>
        </is>
      </c>
      <c r="C14" s="175" t="inlineStr">
        <is>
          <t>md</t>
        </is>
      </c>
      <c r="D14" s="305">
        <f>'ÉP D300'!$V$62</f>
        <v/>
      </c>
      <c r="E14" s="177" t="n">
        <v>7500</v>
      </c>
      <c r="F14" s="177">
        <f>D14*E14</f>
        <v/>
      </c>
      <c r="G14" s="178" t="n"/>
    </row>
    <row r="15" ht="25.95" customHeight="1">
      <c r="A15" s="179" t="inlineStr">
        <is>
          <t>II</t>
        </is>
      </c>
      <c r="B15" s="169" t="inlineStr">
        <is>
          <t>THÍ NGHIỆM</t>
        </is>
      </c>
      <c r="C15" s="170" t="n"/>
      <c r="D15" s="306" t="n"/>
      <c r="E15" s="172" t="n"/>
      <c r="F15" s="172" t="n"/>
      <c r="G15" s="181" t="n"/>
    </row>
    <row r="16" ht="25.95" customHeight="1">
      <c r="A16" s="182" t="n">
        <v>1</v>
      </c>
      <c r="B16" s="175" t="inlineStr">
        <is>
          <t>D350</t>
        </is>
      </c>
      <c r="C16" s="175" t="inlineStr">
        <is>
          <t>điểm</t>
        </is>
      </c>
      <c r="D16" s="305" t="n">
        <v>2</v>
      </c>
      <c r="E16" s="177" t="n">
        <v>1200000</v>
      </c>
      <c r="F16" s="177">
        <f>D16*E16</f>
        <v/>
      </c>
      <c r="G16" s="178" t="n"/>
    </row>
    <row r="17" ht="25.95" customHeight="1">
      <c r="A17" s="182" t="n">
        <v>2</v>
      </c>
      <c r="B17" s="175" t="inlineStr">
        <is>
          <t>D300</t>
        </is>
      </c>
      <c r="C17" s="175" t="inlineStr">
        <is>
          <t>điểm</t>
        </is>
      </c>
      <c r="D17" s="305" t="n">
        <v>12</v>
      </c>
      <c r="E17" s="177" t="n">
        <v>1000000</v>
      </c>
      <c r="F17" s="177">
        <f>D17*E17</f>
        <v/>
      </c>
      <c r="G17" s="178" t="n"/>
    </row>
    <row r="18" ht="25.95" customHeight="1">
      <c r="A18" s="168" t="inlineStr">
        <is>
          <t>III</t>
        </is>
      </c>
      <c r="B18" s="169" t="inlineStr">
        <is>
          <t>CẮT CỌC</t>
        </is>
      </c>
      <c r="C18" s="170" t="n"/>
      <c r="D18" s="307" t="n"/>
      <c r="E18" s="172" t="n"/>
      <c r="F18" s="172" t="n"/>
      <c r="G18" s="172" t="n"/>
    </row>
    <row r="19" ht="25.95" customHeight="1">
      <c r="A19" s="184" t="n">
        <v>1</v>
      </c>
      <c r="B19" s="175" t="inlineStr">
        <is>
          <t>D350</t>
        </is>
      </c>
      <c r="C19" s="175" t="inlineStr">
        <is>
          <t>điểm</t>
        </is>
      </c>
      <c r="D19" s="308">
        <f>'ÉP D350'!$W$23</f>
        <v/>
      </c>
      <c r="E19" s="177" t="n">
        <v>40000</v>
      </c>
      <c r="F19" s="177">
        <f>D19*E19</f>
        <v/>
      </c>
      <c r="G19" s="177" t="n"/>
    </row>
    <row r="20" ht="25.95" customHeight="1">
      <c r="A20" s="184" t="n">
        <v>2</v>
      </c>
      <c r="B20" s="175" t="inlineStr">
        <is>
          <t>D300</t>
        </is>
      </c>
      <c r="C20" s="175" t="inlineStr">
        <is>
          <t>điểm</t>
        </is>
      </c>
      <c r="D20" s="308">
        <f>'ÉP D300'!$W$61</f>
        <v/>
      </c>
      <c r="E20" s="177" t="n">
        <v>30000</v>
      </c>
      <c r="F20" s="177">
        <f>D20*E20</f>
        <v/>
      </c>
      <c r="G20" s="177" t="n"/>
    </row>
    <row r="21" ht="25.95" customHeight="1">
      <c r="A21" s="168" t="inlineStr">
        <is>
          <t>IV</t>
        </is>
      </c>
      <c r="B21" s="169" t="inlineStr">
        <is>
          <t>NÉN TĨNH</t>
        </is>
      </c>
      <c r="C21" s="170" t="n"/>
      <c r="D21" s="307" t="n"/>
      <c r="E21" s="172" t="n"/>
      <c r="F21" s="172" t="n"/>
      <c r="G21" s="172" t="n"/>
    </row>
    <row r="22" ht="25.95" customFormat="1" customHeight="1" s="9">
      <c r="A22" s="175" t="n">
        <v>1</v>
      </c>
      <c r="B22" s="175" t="inlineStr">
        <is>
          <t>D350</t>
        </is>
      </c>
      <c r="C22" s="175" t="inlineStr">
        <is>
          <t>điểm</t>
        </is>
      </c>
      <c r="D22" s="308" t="n"/>
      <c r="E22" s="177" t="n">
        <v>1000000</v>
      </c>
      <c r="F22" s="177">
        <f>D22*E22</f>
        <v/>
      </c>
      <c r="G22" s="177" t="n"/>
      <c r="H22" s="173" t="n"/>
    </row>
    <row r="23" ht="25.95" customHeight="1">
      <c r="A23" s="175" t="n">
        <v>2</v>
      </c>
      <c r="B23" s="175" t="inlineStr">
        <is>
          <t>D300</t>
        </is>
      </c>
      <c r="C23" s="175" t="inlineStr">
        <is>
          <t>điểm</t>
        </is>
      </c>
      <c r="D23" s="308" t="n">
        <v>7</v>
      </c>
      <c r="E23" s="177" t="n">
        <v>800000</v>
      </c>
      <c r="F23" s="177">
        <f>D23*E23</f>
        <v/>
      </c>
      <c r="G23" s="177" t="n"/>
    </row>
    <row r="24" ht="25.95" customHeight="1">
      <c r="A24" s="168" t="inlineStr">
        <is>
          <t>V</t>
        </is>
      </c>
      <c r="B24" s="169" t="inlineStr">
        <is>
          <t>HẠ CỌC</t>
        </is>
      </c>
      <c r="C24" s="170" t="n"/>
      <c r="D24" s="307" t="n"/>
      <c r="E24" s="172" t="n"/>
      <c r="F24" s="172" t="n"/>
      <c r="G24" s="172" t="n"/>
    </row>
    <row r="25" ht="25.95" customHeight="1">
      <c r="A25" s="184" t="n">
        <v>1</v>
      </c>
      <c r="B25" s="175" t="inlineStr">
        <is>
          <t>PHỤ KATO HẠ D350 VÀ CỌC D300</t>
        </is>
      </c>
      <c r="C25" s="175" t="inlineStr">
        <is>
          <t>md</t>
        </is>
      </c>
      <c r="D25" s="305">
        <f>'nhập cọc D300'!O17+'nhập cọc D350'!O12</f>
        <v/>
      </c>
      <c r="E25" s="177" t="n">
        <v>500</v>
      </c>
      <c r="F25" s="177">
        <f>D25*E25</f>
        <v/>
      </c>
      <c r="G25" s="177" t="n"/>
    </row>
    <row r="26" ht="25.95" customHeight="1">
      <c r="A26" s="184" t="n">
        <v>2</v>
      </c>
      <c r="B26" s="175" t="inlineStr">
        <is>
          <t>ROBOT HẠ D350</t>
        </is>
      </c>
      <c r="C26" s="175" t="inlineStr">
        <is>
          <t>md</t>
        </is>
      </c>
      <c r="D26" s="305" t="n"/>
      <c r="E26" s="177" t="n">
        <v>1800</v>
      </c>
      <c r="F26" s="177">
        <f>D26*E26</f>
        <v/>
      </c>
      <c r="G26" s="177" t="n"/>
    </row>
    <row r="27" ht="25.95" customHeight="1">
      <c r="A27" s="184" t="n">
        <v>3</v>
      </c>
      <c r="B27" s="175" t="inlineStr">
        <is>
          <t>ROBOT HẠ D300</t>
        </is>
      </c>
      <c r="C27" s="175" t="inlineStr">
        <is>
          <t>md</t>
        </is>
      </c>
      <c r="D27" s="305" t="n"/>
      <c r="E27" s="177" t="n">
        <v>1500</v>
      </c>
      <c r="F27" s="177">
        <f>D27*E27</f>
        <v/>
      </c>
      <c r="G27" s="177" t="n"/>
    </row>
    <row r="28" ht="25.95" customHeight="1">
      <c r="A28" s="186" t="inlineStr">
        <is>
          <t>VI</t>
        </is>
      </c>
      <c r="B28" s="187" t="inlineStr">
        <is>
          <t>CÔNG NHẬT</t>
        </is>
      </c>
      <c r="C28" s="175" t="inlineStr">
        <is>
          <t>công nhật sửa chữa</t>
        </is>
      </c>
      <c r="D28" s="305">
        <f>'công nhật'!$F$14</f>
        <v/>
      </c>
      <c r="E28" s="177" t="n">
        <v>300000</v>
      </c>
      <c r="F28" s="177">
        <f>D28*E28</f>
        <v/>
      </c>
      <c r="G28" s="177" t="n"/>
    </row>
    <row r="29" ht="25.95" customHeight="1">
      <c r="A29" s="248" t="inlineStr">
        <is>
          <t>VII</t>
        </is>
      </c>
      <c r="B29" s="189" t="inlineStr">
        <is>
          <t>VẬN HÀNH MÁY PHÁT</t>
        </is>
      </c>
      <c r="C29" s="305">
        <f>D13+D14</f>
        <v/>
      </c>
      <c r="D29" s="308" t="n">
        <v>300</v>
      </c>
      <c r="E29" s="177" t="n"/>
      <c r="F29" s="177">
        <f>C29*D29</f>
        <v/>
      </c>
      <c r="G29" s="177" t="n"/>
      <c r="K29" s="200" t="n"/>
    </row>
    <row r="30" ht="25.95" customHeight="1">
      <c r="A30" s="309" t="n"/>
      <c r="B30" s="248" t="inlineStr">
        <is>
          <t>trách nhiệm tổ trưởng + lái máy {8% x {1+2+3}}</t>
        </is>
      </c>
      <c r="C30" s="190" t="n">
        <v>0.08</v>
      </c>
      <c r="D30" s="310">
        <f>F14+F13</f>
        <v/>
      </c>
      <c r="E30" s="178" t="n"/>
      <c r="F30" s="178">
        <f>C30*D30</f>
        <v/>
      </c>
      <c r="G30" s="178" t="n"/>
    </row>
    <row r="31" ht="25.95" customHeight="1">
      <c r="A31" s="192" t="inlineStr">
        <is>
          <t>VIII</t>
        </is>
      </c>
      <c r="B31" s="192" t="inlineStr">
        <is>
          <t>Tháo + lắp máy</t>
        </is>
      </c>
      <c r="C31" s="170" t="inlineStr">
        <is>
          <t>lượt</t>
        </is>
      </c>
      <c r="D31" s="307" t="n">
        <v>2</v>
      </c>
      <c r="E31" s="172" t="n">
        <v>1500000</v>
      </c>
      <c r="F31" s="172">
        <f>D31*E31</f>
        <v/>
      </c>
      <c r="G31" s="172" t="inlineStr">
        <is>
          <t>bình xuyên- hưng yên</t>
        </is>
      </c>
      <c r="J31" s="200" t="n"/>
    </row>
    <row r="32" ht="39" customFormat="1" customHeight="1" s="9">
      <c r="A32" s="247" t="inlineStr">
        <is>
          <t>TỔNG TIỀN</t>
        </is>
      </c>
      <c r="C32" s="193" t="n"/>
      <c r="D32" s="311" t="n"/>
      <c r="E32" s="195" t="n"/>
      <c r="F32" s="196">
        <f>SUM(F13:F31)</f>
        <v/>
      </c>
      <c r="G32" s="197" t="n"/>
      <c r="H32" s="10" t="n"/>
    </row>
    <row r="34">
      <c r="F34" s="198" t="n"/>
    </row>
  </sheetData>
  <mergeCells count="11">
    <mergeCell ref="A4:B4"/>
    <mergeCell ref="A2:B2"/>
    <mergeCell ref="A1:G1"/>
    <mergeCell ref="C2:G2"/>
    <mergeCell ref="A5:B5"/>
    <mergeCell ref="A29:A30"/>
    <mergeCell ref="A32:B32"/>
    <mergeCell ref="A3:B3"/>
    <mergeCell ref="B7:G7"/>
    <mergeCell ref="C3:G3"/>
    <mergeCell ref="B6:G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309"/>
  <sheetViews>
    <sheetView tabSelected="1" zoomScale="71" zoomScaleNormal="50" workbookViewId="0">
      <pane ySplit="7" topLeftCell="A8" activePane="bottomLeft" state="frozen"/>
      <selection pane="bottomLeft" activeCell="Q5" sqref="Q5:Q7"/>
    </sheetView>
  </sheetViews>
  <sheetFormatPr baseColWidth="8" defaultColWidth="8.69921875" defaultRowHeight="13.8"/>
  <cols>
    <col width="15.796875" customWidth="1" style="88" min="2" max="2"/>
    <col width="10.69921875" customWidth="1" min="3" max="3"/>
    <col width="16.5" customWidth="1" min="4" max="4"/>
    <col width="19.09765625" customWidth="1" style="89" min="5" max="5"/>
    <col width="8" customWidth="1" style="312" min="8" max="8"/>
    <col width="14.796875" customWidth="1" min="12" max="12"/>
    <col width="15.296875" customWidth="1" min="13" max="13"/>
    <col width="12.8984375" customWidth="1" min="15" max="15"/>
    <col width="8.8984375" customWidth="1" min="19" max="19"/>
    <col width="10.19921875" customWidth="1" min="20" max="20"/>
    <col width="12.3984375" customWidth="1" min="21" max="21"/>
    <col width="13.296875" customWidth="1" min="22" max="22"/>
    <col width="12.3984375" customWidth="1" min="23" max="23"/>
    <col width="12" customWidth="1" min="24" max="24"/>
    <col width="12.3984375" customWidth="1" style="1" min="25" max="25"/>
    <col width="15.8984375" customWidth="1" min="26" max="26"/>
  </cols>
  <sheetData>
    <row r="1" ht="43.05" customHeight="1">
      <c r="A1" s="232" t="inlineStr">
        <is>
          <t xml:space="preserve">BẢNG THỐNG KÊ KHỐI LƯỢNG CỌC </t>
        </is>
      </c>
      <c r="Z1" s="313" t="n"/>
    </row>
    <row r="2" ht="24" customHeight="1">
      <c r="A2" s="235" t="inlineStr">
        <is>
          <t xml:space="preserve">CÔNG TRÌNH:                NHÀ MÁY CÔNG NGHỆ RED BOARD VIỆT NAM </t>
        </is>
      </c>
    </row>
    <row r="3" ht="21" customFormat="1" customHeight="1" s="85">
      <c r="A3" s="235" t="inlineStr">
        <is>
          <t>NHÀ THẦU THI CÔNG:  CÔNG TY TNHH XÂY DỰNG &amp; XỬ LÝ NỀN MÓNG VIỆT HÙNG</t>
        </is>
      </c>
    </row>
    <row r="4">
      <c r="A4" s="82" t="n"/>
      <c r="B4" s="314" t="n"/>
      <c r="C4" s="315" t="n"/>
      <c r="D4" s="243" t="n"/>
      <c r="E4" s="82" t="n"/>
      <c r="F4" s="82" t="n"/>
      <c r="G4" s="82" t="n"/>
      <c r="H4" s="316" t="n"/>
      <c r="I4" s="82" t="n"/>
      <c r="J4" s="82" t="n"/>
      <c r="K4" s="82" t="n"/>
      <c r="L4" s="117" t="n"/>
      <c r="M4" s="117" t="n"/>
      <c r="N4" s="117" t="n"/>
      <c r="O4" s="117" t="n"/>
      <c r="P4" s="117" t="n"/>
      <c r="Q4" s="117" t="n"/>
      <c r="R4" s="117" t="n"/>
      <c r="S4" s="82" t="n"/>
      <c r="T4" s="82" t="n"/>
      <c r="U4" s="82" t="n"/>
      <c r="V4" s="82" t="n"/>
      <c r="W4" s="82" t="n"/>
      <c r="X4" s="82" t="n"/>
      <c r="Y4" s="317" t="n"/>
      <c r="Z4" s="317" t="n"/>
    </row>
    <row r="5" ht="37.05" customFormat="1" customHeight="1" s="35">
      <c r="A5" s="204" t="inlineStr">
        <is>
          <t>STT</t>
        </is>
      </c>
      <c r="B5" s="318" t="inlineStr">
        <is>
          <t>Ngày, tháng</t>
        </is>
      </c>
      <c r="C5" s="318" t="inlineStr">
        <is>
          <t>Máy ép</t>
        </is>
      </c>
      <c r="D5" s="97" t="inlineStr">
        <is>
          <t>Tên cọc</t>
        </is>
      </c>
      <c r="E5" s="98" t="inlineStr">
        <is>
          <t>Vị trí</t>
        </is>
      </c>
      <c r="F5" s="99" t="inlineStr">
        <is>
          <t>Loại cọc</t>
        </is>
      </c>
      <c r="G5" s="97" t="inlineStr">
        <is>
          <t xml:space="preserve">Tổ hợp cọc </t>
        </is>
      </c>
      <c r="H5" s="319" t="n"/>
      <c r="I5" s="319" t="n"/>
      <c r="J5" s="319" t="n"/>
      <c r="K5" s="320" t="n"/>
      <c r="L5" s="218" t="inlineStr">
        <is>
          <t xml:space="preserve">Chiều dài cọc </t>
        </is>
      </c>
      <c r="M5" s="204" t="inlineStr">
        <is>
          <t>Chiều dài cọc ép thực tế</t>
        </is>
      </c>
      <c r="N5" s="204" t="inlineStr">
        <is>
          <t>cắt cọc</t>
        </is>
      </c>
      <c r="O5" s="204" t="inlineStr">
        <is>
          <t xml:space="preserve">Ép âm, dương </t>
        </is>
      </c>
      <c r="P5" s="321" t="inlineStr">
        <is>
          <t xml:space="preserve">Lực ép </t>
        </is>
      </c>
      <c r="Q5" s="321" t="inlineStr">
        <is>
          <t>Ghi chú
Remark</t>
        </is>
      </c>
    </row>
    <row r="6" ht="37.05" customFormat="1" customHeight="1" s="35">
      <c r="A6" s="309" t="n"/>
      <c r="B6" s="206" t="inlineStr">
        <is>
          <t>Date</t>
        </is>
      </c>
      <c r="C6" s="322" t="inlineStr">
        <is>
          <t>Machine</t>
        </is>
      </c>
      <c r="D6" s="212" t="inlineStr">
        <is>
          <t>Pile name</t>
        </is>
      </c>
      <c r="E6" s="214" t="inlineStr">
        <is>
          <t>Location</t>
        </is>
      </c>
      <c r="F6" s="216" t="inlineStr">
        <is>
          <t>Pile type</t>
        </is>
      </c>
      <c r="G6" s="323" t="n"/>
      <c r="H6" s="324" t="n"/>
      <c r="I6" s="324" t="n"/>
      <c r="J6" s="324" t="n"/>
      <c r="K6" s="325" t="n"/>
      <c r="L6" s="326" t="n"/>
      <c r="M6" s="309" t="n"/>
      <c r="N6" s="309" t="n"/>
      <c r="O6" s="309" t="n"/>
      <c r="P6" s="309" t="n"/>
      <c r="Q6" s="309" t="n"/>
    </row>
    <row r="7" ht="48.6" customFormat="1" customHeight="1" s="35">
      <c r="A7" s="309" t="n"/>
      <c r="B7" s="309" t="n"/>
      <c r="C7" s="309" t="n"/>
      <c r="D7" s="309" t="n"/>
      <c r="E7" s="309" t="n"/>
      <c r="F7" s="327" t="n"/>
      <c r="G7" s="204" t="inlineStr">
        <is>
          <t>1st</t>
        </is>
      </c>
      <c r="H7" s="328" t="inlineStr">
        <is>
          <t>2nd</t>
        </is>
      </c>
      <c r="I7" s="204" t="inlineStr">
        <is>
          <t>3rd</t>
        </is>
      </c>
      <c r="J7" s="204" t="inlineStr">
        <is>
          <t>4th</t>
        </is>
      </c>
      <c r="K7" s="204" t="inlineStr">
        <is>
          <t>5th</t>
        </is>
      </c>
      <c r="L7" s="326" t="n"/>
      <c r="M7" s="309" t="n"/>
      <c r="N7" s="309" t="n"/>
      <c r="O7" s="309" t="n"/>
      <c r="P7" s="309" t="n"/>
      <c r="Q7" s="309" t="n"/>
    </row>
    <row r="8" ht="25.05" customFormat="1" customHeight="1" s="86">
      <c r="A8" s="101" t="n">
        <v>1</v>
      </c>
      <c r="B8" s="209" t="n">
        <v>46047</v>
      </c>
      <c r="C8" s="329" t="inlineStr">
        <is>
          <t>JVY420</t>
        </is>
      </c>
      <c r="D8" s="103" t="inlineStr">
        <is>
          <t>TNBS-01</t>
        </is>
      </c>
      <c r="E8" s="104" t="inlineStr">
        <is>
          <t>NHÀ XƯỞNG</t>
        </is>
      </c>
      <c r="F8" s="103" t="inlineStr">
        <is>
          <t>D350</t>
        </is>
      </c>
      <c r="G8" s="105" t="n">
        <v>13</v>
      </c>
      <c r="H8" s="330" t="n">
        <v>13</v>
      </c>
      <c r="I8" s="105" t="n"/>
      <c r="J8" s="105" t="n"/>
      <c r="K8" s="105" t="n"/>
      <c r="L8" s="331">
        <f>SUM(G8:K8)</f>
        <v/>
      </c>
      <c r="M8" s="332" t="n">
        <v>21.8</v>
      </c>
      <c r="N8" s="333">
        <f>IF(L8-M8&gt;0.1,1,0)</f>
        <v/>
      </c>
      <c r="O8" s="333">
        <f>L8-M8</f>
        <v/>
      </c>
      <c r="P8" s="334" t="n">
        <v>182</v>
      </c>
      <c r="Q8" s="334" t="n"/>
    </row>
    <row r="9" ht="25.05" customFormat="1" customHeight="1" s="86">
      <c r="A9" s="101" t="n">
        <v>2</v>
      </c>
      <c r="B9" s="335" t="n"/>
      <c r="C9" s="329" t="inlineStr">
        <is>
          <t>JVY420</t>
        </is>
      </c>
      <c r="D9" s="103" t="inlineStr">
        <is>
          <t>TNBS-02</t>
        </is>
      </c>
      <c r="E9" s="104" t="inlineStr">
        <is>
          <t>NHÀ XƯỞNG</t>
        </is>
      </c>
      <c r="F9" s="103" t="inlineStr">
        <is>
          <t>D350</t>
        </is>
      </c>
      <c r="G9" s="105" t="n">
        <v>13</v>
      </c>
      <c r="H9" s="330" t="n">
        <v>13</v>
      </c>
      <c r="I9" s="105" t="n"/>
      <c r="J9" s="105" t="n"/>
      <c r="K9" s="105" t="n"/>
      <c r="L9" s="331">
        <f>SUM(G9:K9)</f>
        <v/>
      </c>
      <c r="M9" s="332" t="n">
        <v>23.5</v>
      </c>
      <c r="N9" s="333">
        <f>IF(L9-M9&gt;0.1,1,0)</f>
        <v/>
      </c>
      <c r="O9" s="333">
        <f>L9-M9</f>
        <v/>
      </c>
      <c r="P9" s="334" t="n">
        <v>182</v>
      </c>
      <c r="Q9" s="334" t="n"/>
    </row>
    <row r="10" ht="25.05" customFormat="1" customHeight="1" s="86">
      <c r="A10" s="240" t="inlineStr">
        <is>
          <t>TỔNG</t>
        </is>
      </c>
      <c r="B10" s="324" t="n"/>
      <c r="C10" s="324" t="n"/>
      <c r="D10" s="324" t="n"/>
      <c r="E10" s="324" t="n"/>
      <c r="F10" s="325" t="n"/>
      <c r="G10" s="240" t="n"/>
      <c r="H10" s="336" t="n"/>
      <c r="I10" s="240" t="n"/>
      <c r="J10" s="240" t="n"/>
      <c r="K10" s="240" t="n"/>
      <c r="L10" s="121">
        <f>SUM(L8:L9)</f>
        <v/>
      </c>
      <c r="M10" s="121">
        <f>SUM(M8:M9)</f>
        <v/>
      </c>
      <c r="N10" s="121">
        <f>SUM(N8:N9)</f>
        <v/>
      </c>
      <c r="O10" s="121">
        <f>SUM(O8:O9)</f>
        <v/>
      </c>
      <c r="P10" s="121">
        <f>SUM(P8:P9)</f>
        <v/>
      </c>
      <c r="Q10" s="121" t="n"/>
    </row>
    <row r="11" ht="25.05" customFormat="1" customHeight="1" s="86">
      <c r="A11" s="113" t="n"/>
      <c r="B11" s="337" t="n"/>
      <c r="C11" s="337" t="n"/>
      <c r="D11" s="113" t="n"/>
      <c r="E11" s="113" t="n"/>
      <c r="F11" s="113" t="n"/>
      <c r="G11" s="115" t="n"/>
      <c r="H11" s="338" t="n"/>
      <c r="I11" s="113" t="n"/>
      <c r="J11" s="113" t="n"/>
      <c r="K11" s="113" t="n"/>
      <c r="L11" s="261" t="n"/>
      <c r="M11" s="261" t="n"/>
      <c r="N11" s="261" t="n"/>
      <c r="O11" s="261" t="n"/>
      <c r="P11" s="261" t="n"/>
      <c r="Q11" s="261" t="n"/>
    </row>
    <row r="12" ht="25.05" customFormat="1" customHeight="1" s="86">
      <c r="A12" s="113" t="n"/>
      <c r="B12" s="337" t="n"/>
      <c r="C12" s="337" t="n"/>
      <c r="D12" s="113" t="n"/>
      <c r="E12" s="113" t="n"/>
      <c r="F12" s="113" t="n"/>
      <c r="G12" s="113" t="n"/>
      <c r="H12" s="338" t="n"/>
      <c r="I12" s="113" t="n"/>
      <c r="J12" s="113" t="n"/>
      <c r="K12" s="113" t="n"/>
      <c r="L12" s="261" t="n"/>
      <c r="M12" s="261" t="n"/>
      <c r="N12" s="261" t="n"/>
      <c r="O12" s="261" t="n"/>
      <c r="P12" s="261" t="n"/>
      <c r="Q12" s="261" t="n"/>
    </row>
    <row r="13" ht="25.05" customFormat="1" customHeight="1" s="86">
      <c r="A13" s="113" t="n"/>
      <c r="B13" s="337" t="n"/>
      <c r="C13" s="337" t="n"/>
      <c r="D13" s="113" t="n"/>
      <c r="E13" s="113" t="n"/>
      <c r="F13" s="113" t="n"/>
      <c r="G13" s="113" t="n"/>
      <c r="H13" s="338" t="n"/>
      <c r="I13" s="113" t="n"/>
      <c r="J13" s="113" t="n"/>
      <c r="K13" s="113" t="n"/>
      <c r="L13" s="261" t="n"/>
      <c r="M13" s="261" t="n"/>
      <c r="N13" s="261" t="n"/>
      <c r="O13" s="261" t="n"/>
      <c r="P13" s="261" t="n"/>
      <c r="Q13" s="261" t="n"/>
    </row>
    <row r="14" ht="25.05" customFormat="1" customHeight="1" s="86">
      <c r="A14" s="201" t="inlineStr">
        <is>
          <t>CÔNG TY TNHH NISHIMATSU VIỆT NAM</t>
        </is>
      </c>
      <c r="K14" s="144" t="n"/>
      <c r="L14" s="145" t="n"/>
      <c r="M14" s="145" t="n"/>
      <c r="N14" s="145" t="n"/>
      <c r="O14" s="145" t="n"/>
      <c r="P14" s="145" t="n"/>
      <c r="Q14" s="145" t="n"/>
    </row>
    <row r="15" ht="25.05" customFormat="1" customHeight="1" s="86">
      <c r="B15" s="88" t="n"/>
      <c r="E15" s="89" t="n"/>
      <c r="H15" s="312" t="n"/>
    </row>
    <row r="16" ht="25.05" customFormat="1" customHeight="1" s="86">
      <c r="B16" s="88" t="n"/>
      <c r="E16" s="89" t="n"/>
      <c r="H16" s="312" t="n"/>
    </row>
    <row r="17" ht="25.05" customFormat="1" customHeight="1" s="86">
      <c r="B17" s="88" t="n"/>
      <c r="E17" s="89" t="n"/>
      <c r="H17" s="312" t="n"/>
    </row>
    <row r="18" ht="25.05" customFormat="1" customHeight="1" s="86">
      <c r="B18" s="88" t="n"/>
      <c r="E18" s="89" t="n"/>
      <c r="H18" s="312" t="n"/>
    </row>
    <row r="19" ht="25.05" customFormat="1" customHeight="1" s="86">
      <c r="B19" s="88" t="n"/>
      <c r="E19" s="89" t="n"/>
      <c r="H19" s="312" t="n"/>
    </row>
    <row r="20" ht="25.05" customFormat="1" customHeight="1" s="86">
      <c r="B20" s="88" t="n"/>
      <c r="E20" s="89" t="n"/>
      <c r="H20" s="312" t="n"/>
    </row>
    <row r="21" ht="25.05" customFormat="1" customHeight="1" s="86">
      <c r="B21" s="88" t="n"/>
      <c r="E21" s="89" t="n"/>
      <c r="H21" s="312" t="n"/>
    </row>
    <row r="22" ht="25.05" customFormat="1" customHeight="1" s="86">
      <c r="B22" s="88" t="n"/>
      <c r="E22" s="89" t="n"/>
      <c r="H22" s="312" t="n"/>
    </row>
    <row r="23" ht="25.05" customFormat="1" customHeight="1" s="86">
      <c r="B23" s="88" t="n"/>
      <c r="E23" s="89" t="n"/>
      <c r="H23" s="312" t="n"/>
      <c r="R23" s="121">
        <f>SUM(#REF!)</f>
        <v/>
      </c>
      <c r="S23" s="121">
        <f>SUM(#REF!)</f>
        <v/>
      </c>
      <c r="T23" s="121">
        <f>SUM(#REF!)</f>
        <v/>
      </c>
      <c r="U23" s="339" t="n"/>
      <c r="V23" s="340">
        <f>SUM(#REF!)</f>
        <v/>
      </c>
      <c r="W23" s="341">
        <f>SUM(N8:N9)</f>
        <v/>
      </c>
      <c r="X23" s="341" t="n"/>
      <c r="Y23" s="139" t="n"/>
      <c r="Z23" s="342" t="n"/>
    </row>
    <row r="24" ht="25.05" customFormat="1" customHeight="1" s="86">
      <c r="B24" s="88" t="n"/>
      <c r="E24" s="89" t="n"/>
      <c r="H24" s="312" t="n"/>
      <c r="R24" s="261" t="n"/>
      <c r="S24" s="261" t="n"/>
      <c r="T24" s="113" t="n"/>
      <c r="U24" s="113" t="n"/>
      <c r="V24" s="343">
        <f>SUM(#REF!)</f>
        <v/>
      </c>
      <c r="W24" s="132" t="n"/>
      <c r="X24" s="132" t="n"/>
      <c r="Y24" s="344" t="n"/>
      <c r="Z24" s="344" t="n"/>
    </row>
    <row r="25" ht="25.05" customFormat="1" customHeight="1" s="86">
      <c r="B25" s="88" t="n"/>
      <c r="E25" s="89" t="n"/>
      <c r="H25" s="312" t="n"/>
      <c r="R25" s="261" t="n"/>
      <c r="S25" s="113" t="n"/>
      <c r="T25" s="113" t="n"/>
      <c r="U25" s="261" t="n"/>
      <c r="V25" s="345" t="n"/>
      <c r="W25" s="132" t="n"/>
      <c r="X25" s="343" t="n"/>
      <c r="Y25" s="346" t="n"/>
      <c r="Z25" s="346" t="n"/>
    </row>
    <row r="26" ht="25.05" customFormat="1" customHeight="1" s="86">
      <c r="B26" s="88" t="n"/>
      <c r="E26" s="89" t="n"/>
      <c r="H26" s="312" t="n"/>
      <c r="R26" s="123" t="n">
        <v>12</v>
      </c>
      <c r="S26" s="260" t="n">
        <v>13</v>
      </c>
      <c r="T26" s="113" t="n"/>
      <c r="U26" s="113" t="n"/>
      <c r="V26" s="229" t="n"/>
      <c r="X26" s="347" t="n"/>
      <c r="Z26" s="346" t="n"/>
    </row>
    <row r="27" ht="25.05" customFormat="1" customHeight="1" s="86">
      <c r="B27" s="88" t="n"/>
      <c r="E27" s="89" t="n"/>
      <c r="H27" s="312" t="n"/>
      <c r="R27" s="143">
        <f>SUMIF(#REF!,#REF!,#REF!)</f>
        <v/>
      </c>
      <c r="S27" s="146">
        <f>$S$23</f>
        <v/>
      </c>
      <c r="T27" s="147" t="n"/>
      <c r="U27" s="147" t="n"/>
      <c r="V27" s="229" t="n"/>
      <c r="X27" s="347" t="n"/>
      <c r="Z27" s="147" t="n"/>
    </row>
    <row r="28" ht="25.05" customFormat="1" customHeight="1" s="86">
      <c r="B28" s="88" t="n"/>
      <c r="E28" s="89" t="n"/>
      <c r="H28" s="312" t="n"/>
      <c r="R28" s="143">
        <f>+R27</f>
        <v/>
      </c>
      <c r="S28" s="146">
        <f>S27</f>
        <v/>
      </c>
      <c r="T28" s="147" t="n"/>
      <c r="U28" s="147" t="n"/>
      <c r="V28" s="261" t="n"/>
      <c r="W28" s="132" t="n"/>
      <c r="X28" s="132" t="n"/>
      <c r="Y28" s="344" t="n"/>
      <c r="Z28" s="344" t="n"/>
    </row>
    <row r="29" ht="25.05" customFormat="1" customHeight="1" s="86">
      <c r="B29" s="88" t="n"/>
      <c r="E29" s="89" t="n"/>
      <c r="H29" s="312" t="n"/>
      <c r="R29" s="261" t="n"/>
      <c r="S29" s="147" t="n"/>
      <c r="T29" s="147" t="n"/>
      <c r="U29" s="147" t="n"/>
      <c r="V29" s="343" t="n"/>
      <c r="W29" s="132" t="n"/>
      <c r="X29" s="132" t="n"/>
      <c r="Y29" s="344" t="n"/>
      <c r="Z29" s="344" t="n"/>
    </row>
    <row r="30" ht="25.05" customFormat="1" customHeight="1" s="86">
      <c r="B30" s="88" t="n"/>
      <c r="E30" s="89" t="n"/>
      <c r="H30" s="312" t="n"/>
      <c r="R30" s="145" t="n"/>
      <c r="S30" s="145" t="n"/>
      <c r="T30" s="145" t="n"/>
      <c r="U30" s="145" t="n"/>
      <c r="V30" s="201" t="inlineStr">
        <is>
          <t>CÔNG TY TNHH XÂY DỰNG &amp; XỬ LÝ NỀN MÓNG VIỆT HÙNG</t>
        </is>
      </c>
      <c r="Z30" s="145" t="n"/>
    </row>
    <row r="31" ht="25.05" customFormat="1" customHeight="1" s="86">
      <c r="B31" s="88" t="n"/>
      <c r="E31" s="89" t="n"/>
      <c r="H31" s="312" t="n"/>
      <c r="Y31" s="1" t="n"/>
    </row>
    <row r="32" ht="25.05" customFormat="1" customHeight="1" s="86">
      <c r="B32" s="88" t="n"/>
      <c r="E32" s="89" t="n"/>
      <c r="H32" s="312" t="n"/>
      <c r="Y32" s="1" t="n"/>
    </row>
    <row r="33" ht="25.05" customFormat="1" customHeight="1" s="86">
      <c r="B33" s="88" t="n"/>
      <c r="E33" s="89" t="n"/>
      <c r="H33" s="312" t="n"/>
      <c r="Y33" s="1" t="n"/>
    </row>
    <row r="34" ht="25.05" customFormat="1" customHeight="1" s="86">
      <c r="B34" s="88" t="n"/>
      <c r="E34" s="89" t="n"/>
      <c r="H34" s="312" t="n"/>
      <c r="Y34" s="1" t="n"/>
    </row>
    <row r="35" ht="25.05" customFormat="1" customHeight="1" s="86">
      <c r="B35" s="88" t="n"/>
      <c r="E35" s="89" t="n"/>
      <c r="H35" s="312" t="n"/>
      <c r="Y35" s="1" t="n"/>
    </row>
    <row r="36" ht="25.05" customFormat="1" customHeight="1" s="86">
      <c r="B36" s="88" t="n"/>
      <c r="E36" s="89" t="n"/>
      <c r="H36" s="312" t="n"/>
      <c r="Y36" s="1" t="n"/>
    </row>
    <row r="37" ht="25.05" customFormat="1" customHeight="1" s="86">
      <c r="B37" s="88" t="n"/>
      <c r="E37" s="89" t="n"/>
      <c r="H37" s="312" t="n"/>
      <c r="Y37" s="1" t="n"/>
    </row>
    <row r="38" ht="25.05" customFormat="1" customHeight="1" s="86">
      <c r="B38" s="88" t="n"/>
      <c r="E38" s="89" t="n"/>
      <c r="H38" s="312" t="n"/>
      <c r="Y38" s="1" t="n"/>
    </row>
    <row r="39" ht="25.05" customFormat="1" customHeight="1" s="86">
      <c r="B39" s="88" t="n"/>
      <c r="E39" s="89" t="n"/>
      <c r="H39" s="312" t="n"/>
      <c r="Y39" s="1" t="n"/>
    </row>
    <row r="40" ht="25.05" customFormat="1" customHeight="1" s="86">
      <c r="B40" s="88" t="n"/>
      <c r="E40" s="89" t="n"/>
      <c r="H40" s="312" t="n"/>
      <c r="Y40" s="1" t="n"/>
    </row>
    <row r="41" ht="25.05" customFormat="1" customHeight="1" s="86">
      <c r="B41" s="88" t="n"/>
      <c r="E41" s="89" t="n"/>
      <c r="H41" s="312" t="n"/>
      <c r="Y41" s="1" t="n"/>
    </row>
    <row r="42" ht="25.05" customFormat="1" customHeight="1" s="86">
      <c r="B42" s="88" t="n"/>
      <c r="E42" s="89" t="n"/>
      <c r="H42" s="312" t="n"/>
      <c r="Y42" s="1" t="n"/>
    </row>
    <row r="43" ht="25.05" customFormat="1" customHeight="1" s="86">
      <c r="B43" s="88" t="n"/>
      <c r="E43" s="89" t="n"/>
      <c r="H43" s="312" t="n"/>
      <c r="Y43" s="1" t="n"/>
    </row>
    <row r="44" ht="25.05" customFormat="1" customHeight="1" s="86">
      <c r="B44" s="88" t="n"/>
      <c r="E44" s="89" t="n"/>
      <c r="H44" s="312" t="n"/>
      <c r="Y44" s="1" t="n"/>
    </row>
    <row r="45" ht="25.05" customFormat="1" customHeight="1" s="86">
      <c r="B45" s="88" t="n"/>
      <c r="E45" s="89" t="n"/>
      <c r="H45" s="312" t="n"/>
      <c r="Y45" s="1" t="n"/>
    </row>
    <row r="46" ht="25.05" customFormat="1" customHeight="1" s="86">
      <c r="B46" s="88" t="n"/>
      <c r="E46" s="89" t="n"/>
      <c r="H46" s="312" t="n"/>
      <c r="Y46" s="1" t="n"/>
    </row>
    <row r="47" ht="25.05" customFormat="1" customHeight="1" s="86">
      <c r="B47" s="88" t="n"/>
      <c r="E47" s="89" t="n"/>
      <c r="H47" s="312" t="n"/>
      <c r="Y47" s="1" t="n"/>
    </row>
    <row r="48" ht="25.05" customFormat="1" customHeight="1" s="86">
      <c r="B48" s="88" t="n"/>
      <c r="E48" s="89" t="n"/>
      <c r="H48" s="312" t="n"/>
      <c r="Y48" s="1" t="n"/>
    </row>
    <row r="49" ht="25.05" customFormat="1" customHeight="1" s="86">
      <c r="B49" s="88" t="n"/>
      <c r="E49" s="89" t="n"/>
      <c r="H49" s="312" t="n"/>
      <c r="Y49" s="1" t="n"/>
    </row>
    <row r="50" ht="25.05" customFormat="1" customHeight="1" s="86">
      <c r="B50" s="88" t="n"/>
      <c r="E50" s="89" t="n"/>
      <c r="H50" s="312" t="n"/>
      <c r="Y50" s="1" t="n"/>
    </row>
    <row r="51" ht="25.05" customFormat="1" customHeight="1" s="86">
      <c r="B51" s="88" t="n"/>
      <c r="E51" s="89" t="n"/>
      <c r="H51" s="312" t="n"/>
      <c r="Y51" s="1" t="n"/>
    </row>
    <row r="52" ht="25.05" customFormat="1" customHeight="1" s="86">
      <c r="B52" s="88" t="n"/>
      <c r="E52" s="89" t="n"/>
      <c r="H52" s="312" t="n"/>
      <c r="Y52" s="1" t="n"/>
    </row>
    <row r="53" ht="25.05" customFormat="1" customHeight="1" s="86">
      <c r="B53" s="88" t="n"/>
      <c r="E53" s="89" t="n"/>
      <c r="H53" s="312" t="n"/>
      <c r="Y53" s="1" t="n"/>
    </row>
    <row r="54" ht="25.05" customFormat="1" customHeight="1" s="86">
      <c r="B54" s="88" t="n"/>
      <c r="E54" s="89" t="n"/>
      <c r="H54" s="312" t="n"/>
      <c r="Y54" s="1" t="n"/>
    </row>
    <row r="55" ht="25.05" customFormat="1" customHeight="1" s="86">
      <c r="B55" s="88" t="n"/>
      <c r="E55" s="89" t="n"/>
      <c r="H55" s="312" t="n"/>
      <c r="Y55" s="1" t="n"/>
    </row>
    <row r="56" ht="25.05" customFormat="1" customHeight="1" s="86">
      <c r="B56" s="88" t="n"/>
      <c r="E56" s="89" t="n"/>
      <c r="H56" s="312" t="n"/>
      <c r="Y56" s="1" t="n"/>
    </row>
    <row r="57" ht="25.05" customFormat="1" customHeight="1" s="86">
      <c r="B57" s="88" t="n"/>
      <c r="E57" s="89" t="n"/>
      <c r="H57" s="312" t="n"/>
      <c r="Y57" s="1" t="n"/>
    </row>
    <row r="58" ht="25.05" customFormat="1" customHeight="1" s="86">
      <c r="B58" s="88" t="n"/>
      <c r="E58" s="89" t="n"/>
      <c r="H58" s="312" t="n"/>
      <c r="Y58" s="1" t="n"/>
    </row>
    <row r="59" ht="25.05" customFormat="1" customHeight="1" s="86">
      <c r="B59" s="88" t="n"/>
      <c r="E59" s="89" t="n"/>
      <c r="H59" s="312" t="n"/>
      <c r="Y59" s="1" t="n"/>
    </row>
    <row r="60" ht="25.05" customFormat="1" customHeight="1" s="86">
      <c r="B60" s="88" t="n"/>
      <c r="E60" s="89" t="n"/>
      <c r="H60" s="312" t="n"/>
      <c r="Y60" s="1" t="n"/>
    </row>
    <row r="61" ht="25.05" customFormat="1" customHeight="1" s="86">
      <c r="B61" s="88" t="n"/>
      <c r="E61" s="89" t="n"/>
      <c r="H61" s="312" t="n"/>
      <c r="Y61" s="1" t="n"/>
    </row>
    <row r="62" ht="25.05" customFormat="1" customHeight="1" s="86">
      <c r="B62" s="88" t="n"/>
      <c r="E62" s="89" t="n"/>
      <c r="H62" s="312" t="n"/>
      <c r="Y62" s="1" t="n"/>
    </row>
    <row r="63" ht="25.05" customFormat="1" customHeight="1" s="86">
      <c r="B63" s="88" t="n"/>
      <c r="E63" s="89" t="n"/>
      <c r="H63" s="312" t="n"/>
      <c r="Y63" s="1" t="n"/>
    </row>
    <row r="64" ht="25.05" customFormat="1" customHeight="1" s="86">
      <c r="B64" s="88" t="n"/>
      <c r="E64" s="89" t="n"/>
      <c r="H64" s="312" t="n"/>
      <c r="Y64" s="1" t="n"/>
    </row>
    <row r="65" ht="25.05" customFormat="1" customHeight="1" s="86">
      <c r="B65" s="88" t="n"/>
      <c r="E65" s="89" t="n"/>
      <c r="H65" s="312" t="n"/>
      <c r="Y65" s="1" t="n"/>
    </row>
    <row r="66" ht="25.05" customFormat="1" customHeight="1" s="86">
      <c r="B66" s="88" t="n"/>
      <c r="E66" s="89" t="n"/>
      <c r="H66" s="312" t="n"/>
      <c r="Y66" s="1" t="n"/>
    </row>
    <row r="67" ht="25.05" customFormat="1" customHeight="1" s="86">
      <c r="B67" s="88" t="n"/>
      <c r="E67" s="89" t="n"/>
      <c r="H67" s="312" t="n"/>
      <c r="Y67" s="1" t="n"/>
    </row>
    <row r="68" ht="25.05" customFormat="1" customHeight="1" s="86">
      <c r="B68" s="88" t="n"/>
      <c r="E68" s="89" t="n"/>
      <c r="H68" s="312" t="n"/>
      <c r="Y68" s="1" t="n"/>
    </row>
    <row r="69" ht="25.05" customFormat="1" customHeight="1" s="86">
      <c r="B69" s="88" t="n"/>
      <c r="E69" s="89" t="n"/>
      <c r="H69" s="312" t="n"/>
      <c r="Y69" s="1" t="n"/>
    </row>
    <row r="70" ht="25.05" customFormat="1" customHeight="1" s="86">
      <c r="B70" s="88" t="n"/>
      <c r="E70" s="89" t="n"/>
      <c r="H70" s="312" t="n"/>
      <c r="Y70" s="1" t="n"/>
    </row>
    <row r="71" ht="25.05" customFormat="1" customHeight="1" s="86">
      <c r="B71" s="88" t="n"/>
      <c r="E71" s="89" t="n"/>
      <c r="H71" s="312" t="n"/>
      <c r="Y71" s="1" t="n"/>
    </row>
    <row r="72" ht="25.05" customFormat="1" customHeight="1" s="86">
      <c r="B72" s="88" t="n"/>
      <c r="E72" s="89" t="n"/>
      <c r="H72" s="312" t="n"/>
      <c r="Y72" s="1" t="n"/>
    </row>
    <row r="73" ht="25.05" customFormat="1" customHeight="1" s="86">
      <c r="B73" s="88" t="n"/>
      <c r="E73" s="89" t="n"/>
      <c r="H73" s="312" t="n"/>
      <c r="Y73" s="1" t="n"/>
    </row>
    <row r="74" ht="25.05" customFormat="1" customHeight="1" s="86">
      <c r="B74" s="88" t="n"/>
      <c r="E74" s="89" t="n"/>
      <c r="H74" s="312" t="n"/>
      <c r="Y74" s="1" t="n"/>
    </row>
    <row r="75" ht="25.05" customFormat="1" customHeight="1" s="86">
      <c r="B75" s="88" t="n"/>
      <c r="E75" s="89" t="n"/>
      <c r="H75" s="312" t="n"/>
      <c r="Y75" s="1" t="n"/>
    </row>
    <row r="76" ht="25.05" customFormat="1" customHeight="1" s="86">
      <c r="B76" s="88" t="n"/>
      <c r="E76" s="89" t="n"/>
      <c r="H76" s="312" t="n"/>
      <c r="Y76" s="1" t="n"/>
    </row>
    <row r="77" ht="25.05" customFormat="1" customHeight="1" s="86">
      <c r="B77" s="88" t="n"/>
      <c r="E77" s="89" t="n"/>
      <c r="H77" s="312" t="n"/>
      <c r="Y77" s="1" t="n"/>
    </row>
    <row r="78" ht="25.05" customFormat="1" customHeight="1" s="86">
      <c r="B78" s="88" t="n"/>
      <c r="E78" s="89" t="n"/>
      <c r="H78" s="312" t="n"/>
      <c r="Y78" s="1" t="n"/>
    </row>
    <row r="79" ht="25.05" customFormat="1" customHeight="1" s="86">
      <c r="B79" s="88" t="n"/>
      <c r="E79" s="89" t="n"/>
      <c r="H79" s="312" t="n"/>
      <c r="Y79" s="1" t="n"/>
    </row>
    <row r="80" ht="25.05" customFormat="1" customHeight="1" s="86">
      <c r="B80" s="88" t="n"/>
      <c r="E80" s="89" t="n"/>
      <c r="H80" s="312" t="n"/>
      <c r="Y80" s="1" t="n"/>
    </row>
    <row r="81" ht="25.05" customFormat="1" customHeight="1" s="86">
      <c r="B81" s="88" t="n"/>
      <c r="E81" s="89" t="n"/>
      <c r="H81" s="312" t="n"/>
      <c r="Y81" s="1" t="n"/>
    </row>
    <row r="82" ht="25.05" customFormat="1" customHeight="1" s="86">
      <c r="B82" s="88" t="n"/>
      <c r="E82" s="89" t="n"/>
      <c r="H82" s="312" t="n"/>
      <c r="Y82" s="1" t="n"/>
    </row>
    <row r="83" ht="25.05" customFormat="1" customHeight="1" s="86">
      <c r="B83" s="88" t="n"/>
      <c r="E83" s="89" t="n"/>
      <c r="H83" s="312" t="n"/>
      <c r="Y83" s="1" t="n"/>
    </row>
    <row r="84" ht="25.05" customFormat="1" customHeight="1" s="86">
      <c r="B84" s="88" t="n"/>
      <c r="E84" s="89" t="n"/>
      <c r="H84" s="312" t="n"/>
      <c r="Y84" s="1" t="n"/>
    </row>
    <row r="85" ht="25.05" customFormat="1" customHeight="1" s="86">
      <c r="B85" s="88" t="n"/>
      <c r="E85" s="89" t="n"/>
      <c r="H85" s="312" t="n"/>
      <c r="Y85" s="1" t="n"/>
    </row>
    <row r="86" ht="25.05" customFormat="1" customHeight="1" s="86">
      <c r="B86" s="88" t="n"/>
      <c r="E86" s="89" t="n"/>
      <c r="H86" s="312" t="n"/>
      <c r="Y86" s="1" t="n"/>
    </row>
    <row r="87" ht="25.05" customFormat="1" customHeight="1" s="86">
      <c r="B87" s="88" t="n"/>
      <c r="E87" s="89" t="n"/>
      <c r="H87" s="312" t="n"/>
      <c r="Y87" s="1" t="n"/>
    </row>
    <row r="88" ht="25.05" customFormat="1" customHeight="1" s="86">
      <c r="B88" s="88" t="n"/>
      <c r="E88" s="89" t="n"/>
      <c r="H88" s="312" t="n"/>
      <c r="Y88" s="1" t="n"/>
    </row>
    <row r="89" ht="25.05" customFormat="1" customHeight="1" s="86">
      <c r="B89" s="88" t="n"/>
      <c r="E89" s="89" t="n"/>
      <c r="H89" s="312" t="n"/>
      <c r="Y89" s="1" t="n"/>
    </row>
    <row r="90" ht="25.05" customFormat="1" customHeight="1" s="86">
      <c r="B90" s="88" t="n"/>
      <c r="E90" s="89" t="n"/>
      <c r="H90" s="312" t="n"/>
      <c r="Y90" s="1" t="n"/>
    </row>
    <row r="91" ht="25.05" customFormat="1" customHeight="1" s="86">
      <c r="B91" s="88" t="n"/>
      <c r="E91" s="89" t="n"/>
      <c r="H91" s="312" t="n"/>
      <c r="Y91" s="1" t="n"/>
    </row>
    <row r="92" ht="25.05" customFormat="1" customHeight="1" s="86">
      <c r="B92" s="88" t="n"/>
      <c r="E92" s="89" t="n"/>
      <c r="H92" s="312" t="n"/>
      <c r="Y92" s="1" t="n"/>
    </row>
    <row r="93" ht="25.05" customFormat="1" customHeight="1" s="86">
      <c r="B93" s="88" t="n"/>
      <c r="E93" s="89" t="n"/>
      <c r="H93" s="312" t="n"/>
      <c r="Y93" s="1" t="n"/>
    </row>
    <row r="94" ht="25.05" customFormat="1" customHeight="1" s="86">
      <c r="B94" s="88" t="n"/>
      <c r="E94" s="89" t="n"/>
      <c r="H94" s="312" t="n"/>
      <c r="Y94" s="1" t="n"/>
    </row>
    <row r="95" ht="25.05" customFormat="1" customHeight="1" s="86">
      <c r="B95" s="88" t="n"/>
      <c r="E95" s="89" t="n"/>
      <c r="H95" s="312" t="n"/>
      <c r="Y95" s="1" t="n"/>
    </row>
    <row r="96" ht="25.05" customFormat="1" customHeight="1" s="86">
      <c r="B96" s="88" t="n"/>
      <c r="E96" s="89" t="n"/>
      <c r="H96" s="312" t="n"/>
      <c r="Y96" s="1" t="n"/>
    </row>
    <row r="97" ht="25.05" customFormat="1" customHeight="1" s="86">
      <c r="B97" s="88" t="n"/>
      <c r="E97" s="89" t="n"/>
      <c r="H97" s="312" t="n"/>
      <c r="Y97" s="1" t="n"/>
    </row>
    <row r="98" ht="25.05" customFormat="1" customHeight="1" s="86">
      <c r="B98" s="88" t="n"/>
      <c r="E98" s="89" t="n"/>
      <c r="H98" s="312" t="n"/>
      <c r="Y98" s="1" t="n"/>
    </row>
    <row r="99" ht="25.05" customFormat="1" customHeight="1" s="86">
      <c r="B99" s="88" t="n"/>
      <c r="E99" s="89" t="n"/>
      <c r="H99" s="312" t="n"/>
      <c r="Y99" s="1" t="n"/>
    </row>
    <row r="100" ht="25.05" customFormat="1" customHeight="1" s="86">
      <c r="B100" s="88" t="n"/>
      <c r="E100" s="89" t="n"/>
      <c r="H100" s="312" t="n"/>
      <c r="Y100" s="1" t="n"/>
    </row>
    <row r="101" ht="25.05" customFormat="1" customHeight="1" s="86">
      <c r="B101" s="88" t="n"/>
      <c r="E101" s="89" t="n"/>
      <c r="H101" s="312" t="n"/>
      <c r="Y101" s="1" t="n"/>
    </row>
    <row r="102" ht="25.05" customFormat="1" customHeight="1" s="86">
      <c r="B102" s="88" t="n"/>
      <c r="E102" s="89" t="n"/>
      <c r="H102" s="312" t="n"/>
      <c r="Y102" s="1" t="n"/>
    </row>
    <row r="103" ht="25.05" customFormat="1" customHeight="1" s="86">
      <c r="B103" s="88" t="n"/>
      <c r="E103" s="89" t="n"/>
      <c r="H103" s="312" t="n"/>
      <c r="Y103" s="1" t="n"/>
    </row>
    <row r="104" ht="25.05" customFormat="1" customHeight="1" s="86">
      <c r="B104" s="88" t="n"/>
      <c r="E104" s="89" t="n"/>
      <c r="H104" s="312" t="n"/>
      <c r="Y104" s="1" t="n"/>
    </row>
    <row r="105" ht="25.05" customFormat="1" customHeight="1" s="86">
      <c r="B105" s="88" t="n"/>
      <c r="E105" s="89" t="n"/>
      <c r="H105" s="312" t="n"/>
      <c r="Y105" s="1" t="n"/>
    </row>
    <row r="106" ht="25.05" customFormat="1" customHeight="1" s="86">
      <c r="B106" s="88" t="n"/>
      <c r="E106" s="89" t="n"/>
      <c r="H106" s="312" t="n"/>
      <c r="Y106" s="1" t="n"/>
    </row>
    <row r="107" ht="25.05" customFormat="1" customHeight="1" s="86">
      <c r="B107" s="88" t="n"/>
      <c r="E107" s="89" t="n"/>
      <c r="H107" s="312" t="n"/>
      <c r="Y107" s="1" t="n"/>
    </row>
    <row r="108" ht="25.05" customFormat="1" customHeight="1" s="86">
      <c r="B108" s="88" t="n"/>
      <c r="E108" s="89" t="n"/>
      <c r="H108" s="312" t="n"/>
      <c r="Y108" s="1" t="n"/>
    </row>
    <row r="109" ht="25.05" customFormat="1" customHeight="1" s="86">
      <c r="B109" s="88" t="n"/>
      <c r="E109" s="89" t="n"/>
      <c r="H109" s="312" t="n"/>
      <c r="Y109" s="1" t="n"/>
    </row>
    <row r="110" ht="25.05" customFormat="1" customHeight="1" s="86">
      <c r="B110" s="88" t="n"/>
      <c r="E110" s="89" t="n"/>
      <c r="H110" s="312" t="n"/>
      <c r="Y110" s="1" t="n"/>
    </row>
    <row r="111" ht="25.05" customFormat="1" customHeight="1" s="86">
      <c r="B111" s="88" t="n"/>
      <c r="E111" s="89" t="n"/>
      <c r="H111" s="312" t="n"/>
      <c r="Y111" s="1" t="n"/>
    </row>
    <row r="112" ht="25.05" customFormat="1" customHeight="1" s="86">
      <c r="B112" s="88" t="n"/>
      <c r="E112" s="89" t="n"/>
      <c r="H112" s="312" t="n"/>
      <c r="Y112" s="1" t="n"/>
    </row>
    <row r="113" ht="25.05" customFormat="1" customHeight="1" s="86">
      <c r="B113" s="88" t="n"/>
      <c r="E113" s="89" t="n"/>
      <c r="H113" s="312" t="n"/>
      <c r="Y113" s="1" t="n"/>
    </row>
    <row r="114" ht="25.05" customFormat="1" customHeight="1" s="86">
      <c r="B114" s="88" t="n"/>
      <c r="E114" s="89" t="n"/>
      <c r="H114" s="312" t="n"/>
      <c r="Y114" s="1" t="n"/>
    </row>
    <row r="115" ht="25.05" customFormat="1" customHeight="1" s="86">
      <c r="B115" s="88" t="n"/>
      <c r="E115" s="89" t="n"/>
      <c r="H115" s="312" t="n"/>
      <c r="Y115" s="1" t="n"/>
    </row>
    <row r="116" ht="25.05" customFormat="1" customHeight="1" s="86">
      <c r="B116" s="88" t="n"/>
      <c r="E116" s="89" t="n"/>
      <c r="H116" s="312" t="n"/>
      <c r="Y116" s="1" t="n"/>
    </row>
    <row r="117" ht="25.05" customFormat="1" customHeight="1" s="86">
      <c r="B117" s="88" t="n"/>
      <c r="E117" s="89" t="n"/>
      <c r="H117" s="312" t="n"/>
      <c r="Y117" s="1" t="n"/>
    </row>
    <row r="118" ht="25.05" customFormat="1" customHeight="1" s="86">
      <c r="B118" s="88" t="n"/>
      <c r="E118" s="89" t="n"/>
      <c r="H118" s="312" t="n"/>
      <c r="Y118" s="1" t="n"/>
    </row>
    <row r="119" ht="25.05" customFormat="1" customHeight="1" s="86">
      <c r="B119" s="88" t="n"/>
      <c r="E119" s="89" t="n"/>
      <c r="H119" s="312" t="n"/>
      <c r="Y119" s="1" t="n"/>
    </row>
    <row r="120" ht="25.05" customFormat="1" customHeight="1" s="86">
      <c r="B120" s="88" t="n"/>
      <c r="E120" s="89" t="n"/>
      <c r="H120" s="312" t="n"/>
      <c r="Y120" s="1" t="n"/>
    </row>
    <row r="121" ht="25.05" customFormat="1" customHeight="1" s="86">
      <c r="B121" s="88" t="n"/>
      <c r="E121" s="89" t="n"/>
      <c r="H121" s="312" t="n"/>
      <c r="Y121" s="1" t="n"/>
    </row>
    <row r="122" ht="25.05" customFormat="1" customHeight="1" s="86">
      <c r="B122" s="88" t="n"/>
      <c r="E122" s="89" t="n"/>
      <c r="H122" s="312" t="n"/>
      <c r="Y122" s="1" t="n"/>
    </row>
    <row r="123" ht="25.05" customFormat="1" customHeight="1" s="86">
      <c r="B123" s="88" t="n"/>
      <c r="E123" s="89" t="n"/>
      <c r="H123" s="312" t="n"/>
      <c r="Y123" s="1" t="n"/>
    </row>
    <row r="124" ht="25.05" customFormat="1" customHeight="1" s="86">
      <c r="B124" s="88" t="n"/>
      <c r="E124" s="89" t="n"/>
      <c r="H124" s="312" t="n"/>
      <c r="Y124" s="1" t="n"/>
    </row>
    <row r="125" ht="25.05" customFormat="1" customHeight="1" s="86">
      <c r="B125" s="88" t="n"/>
      <c r="E125" s="89" t="n"/>
      <c r="H125" s="312" t="n"/>
      <c r="Y125" s="1" t="n"/>
    </row>
    <row r="126" ht="25.05" customFormat="1" customHeight="1" s="86">
      <c r="B126" s="88" t="n"/>
      <c r="E126" s="89" t="n"/>
      <c r="H126" s="312" t="n"/>
      <c r="Y126" s="1" t="n"/>
    </row>
    <row r="127" ht="25.05" customFormat="1" customHeight="1" s="86">
      <c r="B127" s="88" t="n"/>
      <c r="E127" s="89" t="n"/>
      <c r="H127" s="312" t="n"/>
      <c r="Y127" s="1" t="n"/>
    </row>
    <row r="128" ht="25.05" customFormat="1" customHeight="1" s="86">
      <c r="B128" s="88" t="n"/>
      <c r="E128" s="89" t="n"/>
      <c r="H128" s="312" t="n"/>
      <c r="Y128" s="1" t="n"/>
    </row>
    <row r="129" ht="25.05" customFormat="1" customHeight="1" s="86">
      <c r="B129" s="88" t="n"/>
      <c r="E129" s="89" t="n"/>
      <c r="H129" s="312" t="n"/>
      <c r="Y129" s="1" t="n"/>
    </row>
    <row r="130" ht="25.05" customFormat="1" customHeight="1" s="86">
      <c r="B130" s="88" t="n"/>
      <c r="E130" s="89" t="n"/>
      <c r="H130" s="312" t="n"/>
      <c r="Y130" s="1" t="n"/>
    </row>
    <row r="131" ht="25.05" customFormat="1" customHeight="1" s="86">
      <c r="B131" s="88" t="n"/>
      <c r="E131" s="89" t="n"/>
      <c r="H131" s="312" t="n"/>
      <c r="Y131" s="1" t="n"/>
    </row>
    <row r="132" ht="25.05" customFormat="1" customHeight="1" s="86">
      <c r="B132" s="88" t="n"/>
      <c r="E132" s="89" t="n"/>
      <c r="H132" s="312" t="n"/>
      <c r="Y132" s="1" t="n"/>
    </row>
    <row r="133" ht="25.05" customFormat="1" customHeight="1" s="86">
      <c r="B133" s="88" t="n"/>
      <c r="E133" s="89" t="n"/>
      <c r="H133" s="312" t="n"/>
      <c r="Y133" s="1" t="n"/>
    </row>
    <row r="134" ht="25.05" customFormat="1" customHeight="1" s="86">
      <c r="B134" s="88" t="n"/>
      <c r="E134" s="89" t="n"/>
      <c r="H134" s="312" t="n"/>
      <c r="Y134" s="1" t="n"/>
    </row>
    <row r="135" ht="25.05" customFormat="1" customHeight="1" s="86">
      <c r="B135" s="88" t="n"/>
      <c r="E135" s="89" t="n"/>
      <c r="H135" s="312" t="n"/>
      <c r="Y135" s="1" t="n"/>
    </row>
    <row r="136" ht="25.05" customFormat="1" customHeight="1" s="86">
      <c r="B136" s="88" t="n"/>
      <c r="E136" s="89" t="n"/>
      <c r="H136" s="312" t="n"/>
      <c r="Y136" s="1" t="n"/>
    </row>
    <row r="137" ht="25.05" customFormat="1" customHeight="1" s="86">
      <c r="B137" s="88" t="n"/>
      <c r="E137" s="89" t="n"/>
      <c r="H137" s="312" t="n"/>
      <c r="Y137" s="1" t="n"/>
    </row>
    <row r="138" ht="25.05" customFormat="1" customHeight="1" s="86">
      <c r="B138" s="88" t="n"/>
      <c r="E138" s="89" t="n"/>
      <c r="H138" s="312" t="n"/>
      <c r="Y138" s="1" t="n"/>
    </row>
    <row r="139" ht="25.05" customFormat="1" customHeight="1" s="86">
      <c r="B139" s="88" t="n"/>
      <c r="E139" s="89" t="n"/>
      <c r="H139" s="312" t="n"/>
      <c r="Y139" s="1" t="n"/>
    </row>
    <row r="140" ht="25.05" customFormat="1" customHeight="1" s="86">
      <c r="B140" s="88" t="n"/>
      <c r="E140" s="89" t="n"/>
      <c r="H140" s="312" t="n"/>
      <c r="Y140" s="1" t="n"/>
    </row>
    <row r="141" ht="25.05" customFormat="1" customHeight="1" s="86">
      <c r="B141" s="88" t="n"/>
      <c r="E141" s="89" t="n"/>
      <c r="H141" s="312" t="n"/>
      <c r="Y141" s="1" t="n"/>
    </row>
    <row r="142" ht="25.05" customFormat="1" customHeight="1" s="86">
      <c r="B142" s="88" t="n"/>
      <c r="E142" s="89" t="n"/>
      <c r="H142" s="312" t="n"/>
      <c r="Y142" s="1" t="n"/>
    </row>
    <row r="143" ht="25.05" customFormat="1" customHeight="1" s="86">
      <c r="B143" s="88" t="n"/>
      <c r="E143" s="89" t="n"/>
      <c r="H143" s="312" t="n"/>
      <c r="Y143" s="1" t="n"/>
    </row>
    <row r="144" ht="25.05" customFormat="1" customHeight="1" s="86">
      <c r="B144" s="88" t="n"/>
      <c r="E144" s="89" t="n"/>
      <c r="H144" s="312" t="n"/>
      <c r="Y144" s="1" t="n"/>
    </row>
    <row r="145" ht="25.05" customFormat="1" customHeight="1" s="86">
      <c r="B145" s="88" t="n"/>
      <c r="E145" s="89" t="n"/>
      <c r="H145" s="312" t="n"/>
      <c r="Y145" s="1" t="n"/>
    </row>
    <row r="146" ht="25.05" customFormat="1" customHeight="1" s="86">
      <c r="B146" s="88" t="n"/>
      <c r="E146" s="89" t="n"/>
      <c r="H146" s="312" t="n"/>
      <c r="Y146" s="1" t="n"/>
    </row>
    <row r="147" ht="25.05" customFormat="1" customHeight="1" s="86">
      <c r="B147" s="88" t="n"/>
      <c r="E147" s="89" t="n"/>
      <c r="H147" s="312" t="n"/>
      <c r="Y147" s="1" t="n"/>
    </row>
    <row r="148" ht="25.05" customFormat="1" customHeight="1" s="86">
      <c r="B148" s="88" t="n"/>
      <c r="E148" s="89" t="n"/>
      <c r="H148" s="312" t="n"/>
      <c r="Y148" s="1" t="n"/>
    </row>
    <row r="149" ht="25.05" customFormat="1" customHeight="1" s="86">
      <c r="B149" s="88" t="n"/>
      <c r="E149" s="89" t="n"/>
      <c r="H149" s="312" t="n"/>
      <c r="Y149" s="1" t="n"/>
    </row>
    <row r="150" ht="25.05" customFormat="1" customHeight="1" s="86">
      <c r="B150" s="88" t="n"/>
      <c r="E150" s="89" t="n"/>
      <c r="H150" s="312" t="n"/>
      <c r="Y150" s="1" t="n"/>
    </row>
    <row r="151" ht="25.05" customFormat="1" customHeight="1" s="86">
      <c r="B151" s="88" t="n"/>
      <c r="E151" s="89" t="n"/>
      <c r="H151" s="312" t="n"/>
      <c r="Y151" s="1" t="n"/>
    </row>
    <row r="152" ht="25.05" customFormat="1" customHeight="1" s="86">
      <c r="B152" s="88" t="n"/>
      <c r="E152" s="89" t="n"/>
      <c r="H152" s="312" t="n"/>
      <c r="Y152" s="1" t="n"/>
    </row>
    <row r="153" ht="25.05" customFormat="1" customHeight="1" s="86">
      <c r="B153" s="88" t="n"/>
      <c r="E153" s="89" t="n"/>
      <c r="H153" s="312" t="n"/>
      <c r="Y153" s="1" t="n"/>
    </row>
    <row r="154" ht="25.05" customFormat="1" customHeight="1" s="86">
      <c r="B154" s="88" t="n"/>
      <c r="E154" s="89" t="n"/>
      <c r="H154" s="312" t="n"/>
      <c r="Y154" s="1" t="n"/>
    </row>
    <row r="155" ht="25.05" customFormat="1" customHeight="1" s="86">
      <c r="B155" s="88" t="n"/>
      <c r="E155" s="89" t="n"/>
      <c r="H155" s="312" t="n"/>
      <c r="Y155" s="1" t="n"/>
    </row>
    <row r="156" ht="25.05" customFormat="1" customHeight="1" s="86">
      <c r="B156" s="88" t="n"/>
      <c r="E156" s="89" t="n"/>
      <c r="H156" s="312" t="n"/>
      <c r="Y156" s="1" t="n"/>
    </row>
    <row r="157" ht="25.05" customFormat="1" customHeight="1" s="86">
      <c r="B157" s="88" t="n"/>
      <c r="E157" s="89" t="n"/>
      <c r="H157" s="312" t="n"/>
      <c r="Y157" s="1" t="n"/>
    </row>
    <row r="158" ht="25.05" customFormat="1" customHeight="1" s="86">
      <c r="B158" s="88" t="n"/>
      <c r="E158" s="89" t="n"/>
      <c r="H158" s="312" t="n"/>
      <c r="Y158" s="1" t="n"/>
    </row>
    <row r="159" ht="25.05" customFormat="1" customHeight="1" s="86">
      <c r="B159" s="88" t="n"/>
      <c r="E159" s="89" t="n"/>
      <c r="H159" s="312" t="n"/>
      <c r="Y159" s="1" t="n"/>
    </row>
    <row r="160" ht="25.05" customFormat="1" customHeight="1" s="86">
      <c r="B160" s="88" t="n"/>
      <c r="E160" s="89" t="n"/>
      <c r="H160" s="312" t="n"/>
      <c r="Y160" s="1" t="n"/>
    </row>
    <row r="161" ht="25.05" customFormat="1" customHeight="1" s="86">
      <c r="B161" s="88" t="n"/>
      <c r="E161" s="89" t="n"/>
      <c r="H161" s="312" t="n"/>
      <c r="Y161" s="1" t="n"/>
    </row>
    <row r="162" ht="25.05" customFormat="1" customHeight="1" s="86">
      <c r="B162" s="88" t="n"/>
      <c r="E162" s="89" t="n"/>
      <c r="H162" s="312" t="n"/>
      <c r="Y162" s="1" t="n"/>
    </row>
    <row r="163" ht="25.05" customFormat="1" customHeight="1" s="86">
      <c r="B163" s="88" t="n"/>
      <c r="E163" s="89" t="n"/>
      <c r="H163" s="312" t="n"/>
      <c r="Y163" s="1" t="n"/>
    </row>
    <row r="164" ht="25.05" customFormat="1" customHeight="1" s="86">
      <c r="B164" s="88" t="n"/>
      <c r="E164" s="89" t="n"/>
      <c r="H164" s="312" t="n"/>
      <c r="Y164" s="1" t="n"/>
    </row>
    <row r="165" ht="25.05" customFormat="1" customHeight="1" s="86">
      <c r="B165" s="88" t="n"/>
      <c r="E165" s="89" t="n"/>
      <c r="H165" s="312" t="n"/>
      <c r="Y165" s="1" t="n"/>
    </row>
    <row r="166" ht="25.05" customFormat="1" customHeight="1" s="86">
      <c r="B166" s="88" t="n"/>
      <c r="E166" s="89" t="n"/>
      <c r="H166" s="312" t="n"/>
      <c r="Y166" s="1" t="n"/>
    </row>
    <row r="167" ht="25.05" customFormat="1" customHeight="1" s="86">
      <c r="B167" s="88" t="n"/>
      <c r="E167" s="89" t="n"/>
      <c r="H167" s="312" t="n"/>
      <c r="Y167" s="1" t="n"/>
    </row>
    <row r="168" ht="25.05" customFormat="1" customHeight="1" s="86">
      <c r="B168" s="88" t="n"/>
      <c r="E168" s="89" t="n"/>
      <c r="H168" s="312" t="n"/>
      <c r="Y168" s="1" t="n"/>
    </row>
    <row r="169" ht="25.05" customFormat="1" customHeight="1" s="86">
      <c r="B169" s="88" t="n"/>
      <c r="E169" s="89" t="n"/>
      <c r="H169" s="312" t="n"/>
      <c r="Y169" s="1" t="n"/>
    </row>
    <row r="170" ht="25.05" customFormat="1" customHeight="1" s="86">
      <c r="B170" s="88" t="n"/>
      <c r="E170" s="89" t="n"/>
      <c r="H170" s="312" t="n"/>
      <c r="Y170" s="1" t="n"/>
    </row>
    <row r="171" ht="25.05" customFormat="1" customHeight="1" s="86">
      <c r="B171" s="88" t="n"/>
      <c r="E171" s="89" t="n"/>
      <c r="H171" s="312" t="n"/>
      <c r="Y171" s="1" t="n"/>
    </row>
    <row r="172" ht="25.05" customFormat="1" customHeight="1" s="86">
      <c r="B172" s="88" t="n"/>
      <c r="E172" s="89" t="n"/>
      <c r="H172" s="312" t="n"/>
      <c r="Y172" s="1" t="n"/>
    </row>
    <row r="173" ht="25.05" customFormat="1" customHeight="1" s="86">
      <c r="B173" s="88" t="n"/>
      <c r="E173" s="89" t="n"/>
      <c r="H173" s="312" t="n"/>
      <c r="Y173" s="1" t="n"/>
    </row>
    <row r="174" ht="25.05" customFormat="1" customHeight="1" s="86">
      <c r="B174" s="88" t="n"/>
      <c r="E174" s="89" t="n"/>
      <c r="H174" s="312" t="n"/>
      <c r="Y174" s="1" t="n"/>
    </row>
    <row r="175" ht="25.05" customFormat="1" customHeight="1" s="86">
      <c r="B175" s="88" t="n"/>
      <c r="E175" s="89" t="n"/>
      <c r="H175" s="312" t="n"/>
      <c r="Y175" s="1" t="n"/>
    </row>
    <row r="176" ht="25.05" customFormat="1" customHeight="1" s="86">
      <c r="B176" s="88" t="n"/>
      <c r="E176" s="89" t="n"/>
      <c r="H176" s="312" t="n"/>
      <c r="Y176" s="1" t="n"/>
    </row>
    <row r="177" ht="25.05" customFormat="1" customHeight="1" s="86">
      <c r="B177" s="88" t="n"/>
      <c r="E177" s="89" t="n"/>
      <c r="H177" s="312" t="n"/>
      <c r="Y177" s="1" t="n"/>
    </row>
    <row r="178" ht="25.05" customFormat="1" customHeight="1" s="86">
      <c r="B178" s="88" t="n"/>
      <c r="E178" s="89" t="n"/>
      <c r="H178" s="312" t="n"/>
      <c r="Y178" s="1" t="n"/>
    </row>
    <row r="179" ht="25.05" customFormat="1" customHeight="1" s="86">
      <c r="B179" s="88" t="n"/>
      <c r="E179" s="89" t="n"/>
      <c r="H179" s="312" t="n"/>
      <c r="Y179" s="1" t="n"/>
    </row>
    <row r="180" ht="25.05" customFormat="1" customHeight="1" s="86">
      <c r="B180" s="88" t="n"/>
      <c r="E180" s="89" t="n"/>
      <c r="H180" s="312" t="n"/>
      <c r="Y180" s="1" t="n"/>
    </row>
    <row r="181" ht="25.05" customFormat="1" customHeight="1" s="86">
      <c r="B181" s="88" t="n"/>
      <c r="E181" s="89" t="n"/>
      <c r="H181" s="312" t="n"/>
      <c r="Y181" s="1" t="n"/>
    </row>
    <row r="182" ht="25.05" customFormat="1" customHeight="1" s="86">
      <c r="B182" s="88" t="n"/>
      <c r="E182" s="89" t="n"/>
      <c r="H182" s="312" t="n"/>
      <c r="Y182" s="1" t="n"/>
    </row>
    <row r="183" ht="25.05" customFormat="1" customHeight="1" s="86">
      <c r="B183" s="88" t="n"/>
      <c r="E183" s="89" t="n"/>
      <c r="H183" s="312" t="n"/>
      <c r="Y183" s="1" t="n"/>
    </row>
    <row r="184" ht="25.05" customFormat="1" customHeight="1" s="86">
      <c r="B184" s="88" t="n"/>
      <c r="E184" s="89" t="n"/>
      <c r="H184" s="312" t="n"/>
      <c r="Y184" s="1" t="n"/>
    </row>
    <row r="185" ht="25.05" customFormat="1" customHeight="1" s="86">
      <c r="B185" s="88" t="n"/>
      <c r="E185" s="89" t="n"/>
      <c r="H185" s="312" t="n"/>
      <c r="Y185" s="1" t="n"/>
    </row>
    <row r="186" ht="25.05" customFormat="1" customHeight="1" s="86">
      <c r="B186" s="88" t="n"/>
      <c r="E186" s="89" t="n"/>
      <c r="H186" s="312" t="n"/>
      <c r="Y186" s="1" t="n"/>
    </row>
    <row r="187" ht="25.05" customFormat="1" customHeight="1" s="86">
      <c r="B187" s="88" t="n"/>
      <c r="E187" s="89" t="n"/>
      <c r="H187" s="312" t="n"/>
      <c r="Y187" s="1" t="n"/>
    </row>
    <row r="188" ht="25.05" customFormat="1" customHeight="1" s="86">
      <c r="B188" s="88" t="n"/>
      <c r="E188" s="89" t="n"/>
      <c r="H188" s="312" t="n"/>
      <c r="Y188" s="1" t="n"/>
    </row>
    <row r="189" ht="25.05" customFormat="1" customHeight="1" s="86">
      <c r="B189" s="88" t="n"/>
      <c r="E189" s="89" t="n"/>
      <c r="H189" s="312" t="n"/>
      <c r="Y189" s="1" t="n"/>
    </row>
    <row r="190" ht="25.05" customFormat="1" customHeight="1" s="86">
      <c r="B190" s="88" t="n"/>
      <c r="E190" s="89" t="n"/>
      <c r="H190" s="312" t="n"/>
      <c r="Y190" s="1" t="n"/>
    </row>
    <row r="191" ht="25.05" customFormat="1" customHeight="1" s="86">
      <c r="B191" s="88" t="n"/>
      <c r="E191" s="89" t="n"/>
      <c r="H191" s="312" t="n"/>
      <c r="Y191" s="1" t="n"/>
    </row>
    <row r="192" ht="25.05" customFormat="1" customHeight="1" s="86">
      <c r="B192" s="88" t="n"/>
      <c r="E192" s="89" t="n"/>
      <c r="H192" s="312" t="n"/>
      <c r="Y192" s="1" t="n"/>
    </row>
    <row r="193" ht="25.05" customFormat="1" customHeight="1" s="86">
      <c r="B193" s="88" t="n"/>
      <c r="E193" s="89" t="n"/>
      <c r="H193" s="312" t="n"/>
      <c r="Y193" s="1" t="n"/>
    </row>
    <row r="194" ht="25.05" customFormat="1" customHeight="1" s="86">
      <c r="B194" s="88" t="n"/>
      <c r="E194" s="89" t="n"/>
      <c r="H194" s="312" t="n"/>
      <c r="Y194" s="1" t="n"/>
    </row>
    <row r="195" ht="25.05" customFormat="1" customHeight="1" s="86">
      <c r="B195" s="88" t="n"/>
      <c r="E195" s="89" t="n"/>
      <c r="H195" s="312" t="n"/>
      <c r="Y195" s="1" t="n"/>
    </row>
    <row r="196" ht="25.05" customFormat="1" customHeight="1" s="86">
      <c r="B196" s="88" t="n"/>
      <c r="E196" s="89" t="n"/>
      <c r="H196" s="312" t="n"/>
      <c r="Y196" s="1" t="n"/>
    </row>
    <row r="197" ht="25.05" customFormat="1" customHeight="1" s="86">
      <c r="B197" s="88" t="n"/>
      <c r="E197" s="89" t="n"/>
      <c r="H197" s="312" t="n"/>
      <c r="Y197" s="1" t="n"/>
    </row>
    <row r="198" ht="25.05" customFormat="1" customHeight="1" s="86">
      <c r="B198" s="88" t="n"/>
      <c r="E198" s="89" t="n"/>
      <c r="H198" s="312" t="n"/>
      <c r="Y198" s="1" t="n"/>
    </row>
    <row r="199" ht="25.05" customFormat="1" customHeight="1" s="86">
      <c r="B199" s="88" t="n"/>
      <c r="E199" s="89" t="n"/>
      <c r="H199" s="312" t="n"/>
      <c r="Y199" s="1" t="n"/>
    </row>
    <row r="200" ht="25.05" customFormat="1" customHeight="1" s="86">
      <c r="B200" s="88" t="n"/>
      <c r="E200" s="89" t="n"/>
      <c r="H200" s="312" t="n"/>
      <c r="Y200" s="1" t="n"/>
    </row>
    <row r="201" ht="25.05" customFormat="1" customHeight="1" s="86">
      <c r="B201" s="88" t="n"/>
      <c r="E201" s="89" t="n"/>
      <c r="H201" s="312" t="n"/>
      <c r="Y201" s="1" t="n"/>
    </row>
    <row r="202" ht="25.05" customFormat="1" customHeight="1" s="86">
      <c r="B202" s="88" t="n"/>
      <c r="E202" s="89" t="n"/>
      <c r="H202" s="312" t="n"/>
      <c r="Y202" s="1" t="n"/>
    </row>
    <row r="203" ht="25.05" customFormat="1" customHeight="1" s="86">
      <c r="B203" s="88" t="n"/>
      <c r="E203" s="89" t="n"/>
      <c r="H203" s="312" t="n"/>
      <c r="Y203" s="1" t="n"/>
    </row>
    <row r="204" ht="25.05" customFormat="1" customHeight="1" s="86">
      <c r="B204" s="88" t="n"/>
      <c r="E204" s="89" t="n"/>
      <c r="H204" s="312" t="n"/>
      <c r="Y204" s="1" t="n"/>
    </row>
    <row r="205" ht="25.05" customFormat="1" customHeight="1" s="86">
      <c r="B205" s="88" t="n"/>
      <c r="E205" s="89" t="n"/>
      <c r="H205" s="312" t="n"/>
      <c r="Y205" s="1" t="n"/>
    </row>
    <row r="206" ht="25.05" customFormat="1" customHeight="1" s="86">
      <c r="B206" s="88" t="n"/>
      <c r="E206" s="89" t="n"/>
      <c r="H206" s="312" t="n"/>
      <c r="Y206" s="1" t="n"/>
    </row>
    <row r="207" ht="25.05" customFormat="1" customHeight="1" s="86">
      <c r="B207" s="88" t="n"/>
      <c r="E207" s="89" t="n"/>
      <c r="H207" s="312" t="n"/>
      <c r="Y207" s="1" t="n"/>
    </row>
    <row r="208" ht="25.05" customFormat="1" customHeight="1" s="86">
      <c r="B208" s="88" t="n"/>
      <c r="E208" s="89" t="n"/>
      <c r="H208" s="312" t="n"/>
      <c r="Y208" s="1" t="n"/>
    </row>
    <row r="209" ht="25.05" customFormat="1" customHeight="1" s="86">
      <c r="B209" s="88" t="n"/>
      <c r="E209" s="89" t="n"/>
      <c r="H209" s="312" t="n"/>
      <c r="Y209" s="1" t="n"/>
    </row>
    <row r="210" ht="25.05" customFormat="1" customHeight="1" s="86">
      <c r="B210" s="88" t="n"/>
      <c r="E210" s="89" t="n"/>
      <c r="H210" s="312" t="n"/>
      <c r="Y210" s="1" t="n"/>
    </row>
    <row r="211" ht="25.05" customFormat="1" customHeight="1" s="86">
      <c r="B211" s="88" t="n"/>
      <c r="E211" s="89" t="n"/>
      <c r="H211" s="312" t="n"/>
      <c r="Y211" s="1" t="n"/>
    </row>
    <row r="212" ht="25.05" customFormat="1" customHeight="1" s="86">
      <c r="B212" s="88" t="n"/>
      <c r="E212" s="89" t="n"/>
      <c r="H212" s="312" t="n"/>
      <c r="Y212" s="1" t="n"/>
    </row>
    <row r="213" ht="25.05" customFormat="1" customHeight="1" s="86">
      <c r="B213" s="88" t="n"/>
      <c r="E213" s="89" t="n"/>
      <c r="H213" s="312" t="n"/>
      <c r="Y213" s="1" t="n"/>
    </row>
    <row r="214" ht="25.05" customFormat="1" customHeight="1" s="86">
      <c r="B214" s="88" t="n"/>
      <c r="E214" s="89" t="n"/>
      <c r="H214" s="312" t="n"/>
      <c r="Y214" s="1" t="n"/>
    </row>
    <row r="215" ht="25.05" customFormat="1" customHeight="1" s="86">
      <c r="B215" s="88" t="n"/>
      <c r="E215" s="89" t="n"/>
      <c r="H215" s="312" t="n"/>
      <c r="Y215" s="1" t="n"/>
    </row>
    <row r="216" ht="25.05" customFormat="1" customHeight="1" s="86">
      <c r="B216" s="88" t="n"/>
      <c r="E216" s="89" t="n"/>
      <c r="H216" s="312" t="n"/>
      <c r="Y216" s="1" t="n"/>
    </row>
    <row r="217" ht="25.05" customFormat="1" customHeight="1" s="86">
      <c r="B217" s="88" t="n"/>
      <c r="E217" s="89" t="n"/>
      <c r="H217" s="312" t="n"/>
      <c r="Y217" s="1" t="n"/>
    </row>
    <row r="218" ht="25.05" customFormat="1" customHeight="1" s="86">
      <c r="B218" s="88" t="n"/>
      <c r="E218" s="89" t="n"/>
      <c r="H218" s="312" t="n"/>
      <c r="Y218" s="1" t="n"/>
    </row>
    <row r="219" ht="25.05" customFormat="1" customHeight="1" s="86">
      <c r="B219" s="88" t="n"/>
      <c r="E219" s="89" t="n"/>
      <c r="H219" s="312" t="n"/>
      <c r="Y219" s="1" t="n"/>
    </row>
    <row r="220" ht="25.05" customFormat="1" customHeight="1" s="86">
      <c r="B220" s="88" t="n"/>
      <c r="E220" s="89" t="n"/>
      <c r="H220" s="312" t="n"/>
      <c r="Y220" s="1" t="n"/>
    </row>
    <row r="221" ht="25.05" customFormat="1" customHeight="1" s="86">
      <c r="B221" s="88" t="n"/>
      <c r="E221" s="89" t="n"/>
      <c r="H221" s="312" t="n"/>
      <c r="Y221" s="1" t="n"/>
    </row>
    <row r="222" ht="25.05" customFormat="1" customHeight="1" s="86">
      <c r="B222" s="88" t="n"/>
      <c r="E222" s="89" t="n"/>
      <c r="H222" s="312" t="n"/>
      <c r="Y222" s="1" t="n"/>
    </row>
    <row r="223" ht="25.05" customFormat="1" customHeight="1" s="86">
      <c r="B223" s="88" t="n"/>
      <c r="E223" s="89" t="n"/>
      <c r="H223" s="312" t="n"/>
      <c r="Y223" s="1" t="n"/>
    </row>
    <row r="224" ht="25.05" customFormat="1" customHeight="1" s="86">
      <c r="B224" s="88" t="n"/>
      <c r="E224" s="89" t="n"/>
      <c r="H224" s="312" t="n"/>
      <c r="Y224" s="1" t="n"/>
    </row>
    <row r="225" ht="25.05" customFormat="1" customHeight="1" s="86">
      <c r="B225" s="88" t="n"/>
      <c r="E225" s="89" t="n"/>
      <c r="H225" s="312" t="n"/>
      <c r="Y225" s="1" t="n"/>
    </row>
    <row r="226" ht="25.05" customFormat="1" customHeight="1" s="86">
      <c r="B226" s="88" t="n"/>
      <c r="E226" s="89" t="n"/>
      <c r="H226" s="312" t="n"/>
      <c r="Y226" s="1" t="n"/>
    </row>
    <row r="227" ht="25.05" customFormat="1" customHeight="1" s="86">
      <c r="B227" s="88" t="n"/>
      <c r="E227" s="89" t="n"/>
      <c r="H227" s="312" t="n"/>
      <c r="Y227" s="1" t="n"/>
    </row>
    <row r="228" ht="25.05" customFormat="1" customHeight="1" s="86">
      <c r="B228" s="88" t="n"/>
      <c r="E228" s="89" t="n"/>
      <c r="H228" s="312" t="n"/>
      <c r="Y228" s="1" t="n"/>
    </row>
    <row r="229" ht="25.05" customFormat="1" customHeight="1" s="86">
      <c r="B229" s="88" t="n"/>
      <c r="E229" s="89" t="n"/>
      <c r="H229" s="312" t="n"/>
      <c r="Y229" s="1" t="n"/>
    </row>
    <row r="230" ht="25.05" customFormat="1" customHeight="1" s="86">
      <c r="B230" s="88" t="n"/>
      <c r="E230" s="89" t="n"/>
      <c r="H230" s="312" t="n"/>
      <c r="Y230" s="1" t="n"/>
    </row>
    <row r="231" ht="25.05" customFormat="1" customHeight="1" s="86">
      <c r="B231" s="88" t="n"/>
      <c r="E231" s="89" t="n"/>
      <c r="H231" s="312" t="n"/>
      <c r="Y231" s="1" t="n"/>
    </row>
    <row r="232" ht="25.05" customFormat="1" customHeight="1" s="86">
      <c r="B232" s="88" t="n"/>
      <c r="E232" s="89" t="n"/>
      <c r="H232" s="312" t="n"/>
      <c r="Y232" s="1" t="n"/>
    </row>
    <row r="233" ht="25.05" customFormat="1" customHeight="1" s="86">
      <c r="B233" s="88" t="n"/>
      <c r="E233" s="89" t="n"/>
      <c r="H233" s="312" t="n"/>
      <c r="Y233" s="1" t="n"/>
    </row>
    <row r="234" ht="25.05" customFormat="1" customHeight="1" s="86">
      <c r="B234" s="88" t="n"/>
      <c r="E234" s="89" t="n"/>
      <c r="H234" s="312" t="n"/>
      <c r="Y234" s="1" t="n"/>
    </row>
    <row r="235" ht="25.05" customFormat="1" customHeight="1" s="86">
      <c r="B235" s="88" t="n"/>
      <c r="E235" s="89" t="n"/>
      <c r="H235" s="312" t="n"/>
      <c r="Y235" s="1" t="n"/>
    </row>
    <row r="236" ht="25.05" customFormat="1" customHeight="1" s="86">
      <c r="B236" s="88" t="n"/>
      <c r="E236" s="89" t="n"/>
      <c r="H236" s="312" t="n"/>
      <c r="Y236" s="1" t="n"/>
    </row>
    <row r="237" ht="25.05" customFormat="1" customHeight="1" s="86">
      <c r="B237" s="88" t="n"/>
      <c r="E237" s="89" t="n"/>
      <c r="H237" s="312" t="n"/>
      <c r="Y237" s="1" t="n"/>
    </row>
    <row r="238" ht="25.05" customFormat="1" customHeight="1" s="86">
      <c r="B238" s="88" t="n"/>
      <c r="E238" s="89" t="n"/>
      <c r="H238" s="312" t="n"/>
      <c r="Y238" s="1" t="n"/>
    </row>
    <row r="239" ht="25.05" customFormat="1" customHeight="1" s="86">
      <c r="B239" s="88" t="n"/>
      <c r="E239" s="89" t="n"/>
      <c r="H239" s="312" t="n"/>
      <c r="Y239" s="1" t="n"/>
    </row>
    <row r="240" ht="25.05" customFormat="1" customHeight="1" s="86">
      <c r="B240" s="88" t="n"/>
      <c r="E240" s="89" t="n"/>
      <c r="H240" s="312" t="n"/>
      <c r="Y240" s="1" t="n"/>
    </row>
    <row r="241" ht="25.05" customFormat="1" customHeight="1" s="86">
      <c r="B241" s="88" t="n"/>
      <c r="E241" s="89" t="n"/>
      <c r="H241" s="312" t="n"/>
      <c r="Y241" s="1" t="n"/>
    </row>
    <row r="242" ht="25.05" customFormat="1" customHeight="1" s="86">
      <c r="B242" s="88" t="n"/>
      <c r="E242" s="89" t="n"/>
      <c r="H242" s="312" t="n"/>
      <c r="Y242" s="1" t="n"/>
    </row>
    <row r="243" ht="25.05" customFormat="1" customHeight="1" s="86">
      <c r="B243" s="88" t="n"/>
      <c r="E243" s="89" t="n"/>
      <c r="H243" s="312" t="n"/>
      <c r="Y243" s="1" t="n"/>
    </row>
    <row r="244" ht="25.05" customFormat="1" customHeight="1" s="86">
      <c r="B244" s="88" t="n"/>
      <c r="E244" s="89" t="n"/>
      <c r="H244" s="312" t="n"/>
      <c r="Y244" s="1" t="n"/>
    </row>
    <row r="245" ht="25.05" customFormat="1" customHeight="1" s="86">
      <c r="B245" s="88" t="n"/>
      <c r="E245" s="89" t="n"/>
      <c r="H245" s="312" t="n"/>
      <c r="Y245" s="1" t="n"/>
    </row>
    <row r="246" ht="25.05" customFormat="1" customHeight="1" s="86">
      <c r="B246" s="88" t="n"/>
      <c r="E246" s="89" t="n"/>
      <c r="H246" s="312" t="n"/>
      <c r="Y246" s="1" t="n"/>
    </row>
    <row r="247" ht="25.05" customFormat="1" customHeight="1" s="86">
      <c r="B247" s="88" t="n"/>
      <c r="E247" s="89" t="n"/>
      <c r="H247" s="312" t="n"/>
      <c r="Y247" s="1" t="n"/>
    </row>
    <row r="248" ht="25.05" customFormat="1" customHeight="1" s="86">
      <c r="B248" s="88" t="n"/>
      <c r="E248" s="89" t="n"/>
      <c r="H248" s="312" t="n"/>
      <c r="Y248" s="1" t="n"/>
    </row>
    <row r="249" ht="25.05" customFormat="1" customHeight="1" s="86">
      <c r="B249" s="88" t="n"/>
      <c r="E249" s="89" t="n"/>
      <c r="H249" s="312" t="n"/>
      <c r="Y249" s="1" t="n"/>
    </row>
    <row r="250" ht="25.05" customFormat="1" customHeight="1" s="86">
      <c r="B250" s="88" t="n"/>
      <c r="E250" s="89" t="n"/>
      <c r="H250" s="312" t="n"/>
      <c r="Y250" s="1" t="n"/>
    </row>
    <row r="251" ht="25.05" customFormat="1" customHeight="1" s="86">
      <c r="B251" s="88" t="n"/>
      <c r="E251" s="89" t="n"/>
      <c r="H251" s="312" t="n"/>
      <c r="Y251" s="1" t="n"/>
    </row>
    <row r="252" ht="25.05" customFormat="1" customHeight="1" s="86">
      <c r="B252" s="88" t="n"/>
      <c r="E252" s="89" t="n"/>
      <c r="H252" s="312" t="n"/>
      <c r="Y252" s="1" t="n"/>
    </row>
    <row r="253" ht="25.05" customFormat="1" customHeight="1" s="86">
      <c r="B253" s="88" t="n"/>
      <c r="E253" s="89" t="n"/>
      <c r="H253" s="312" t="n"/>
      <c r="Y253" s="1" t="n"/>
    </row>
    <row r="254" ht="25.05" customFormat="1" customHeight="1" s="86">
      <c r="B254" s="88" t="n"/>
      <c r="E254" s="89" t="n"/>
      <c r="H254" s="312" t="n"/>
      <c r="Y254" s="1" t="n"/>
    </row>
    <row r="255" ht="25.05" customFormat="1" customHeight="1" s="86">
      <c r="B255" s="88" t="n"/>
      <c r="E255" s="89" t="n"/>
      <c r="H255" s="312" t="n"/>
      <c r="Y255" s="1" t="n"/>
    </row>
    <row r="256" ht="25.05" customFormat="1" customHeight="1" s="86">
      <c r="B256" s="88" t="n"/>
      <c r="E256" s="89" t="n"/>
      <c r="H256" s="312" t="n"/>
      <c r="Y256" s="1" t="n"/>
    </row>
    <row r="257" ht="25.05" customFormat="1" customHeight="1" s="86">
      <c r="B257" s="88" t="n"/>
      <c r="E257" s="89" t="n"/>
      <c r="H257" s="312" t="n"/>
      <c r="Y257" s="1" t="n"/>
    </row>
    <row r="258" ht="25.05" customFormat="1" customHeight="1" s="86">
      <c r="B258" s="88" t="n"/>
      <c r="E258" s="89" t="n"/>
      <c r="H258" s="312" t="n"/>
      <c r="Y258" s="1" t="n"/>
    </row>
    <row r="259" ht="25.05" customFormat="1" customHeight="1" s="86">
      <c r="B259" s="88" t="n"/>
      <c r="E259" s="89" t="n"/>
      <c r="H259" s="312" t="n"/>
      <c r="Y259" s="1" t="n"/>
    </row>
    <row r="260" ht="25.05" customFormat="1" customHeight="1" s="86">
      <c r="B260" s="88" t="n"/>
      <c r="E260" s="89" t="n"/>
      <c r="H260" s="312" t="n"/>
      <c r="Y260" s="1" t="n"/>
    </row>
    <row r="261" ht="25.05" customFormat="1" customHeight="1" s="86">
      <c r="B261" s="88" t="n"/>
      <c r="E261" s="89" t="n"/>
      <c r="H261" s="312" t="n"/>
      <c r="Y261" s="1" t="n"/>
    </row>
    <row r="262" ht="25.05" customFormat="1" customHeight="1" s="86">
      <c r="B262" s="88" t="n"/>
      <c r="E262" s="89" t="n"/>
      <c r="H262" s="312" t="n"/>
      <c r="Y262" s="1" t="n"/>
    </row>
    <row r="263" ht="25.05" customFormat="1" customHeight="1" s="86">
      <c r="B263" s="88" t="n"/>
      <c r="E263" s="89" t="n"/>
      <c r="H263" s="312" t="n"/>
      <c r="Y263" s="1" t="n"/>
    </row>
    <row r="264" ht="25.05" customFormat="1" customHeight="1" s="86">
      <c r="B264" s="88" t="n"/>
      <c r="E264" s="89" t="n"/>
      <c r="H264" s="312" t="n"/>
      <c r="Y264" s="1" t="n"/>
    </row>
    <row r="265" ht="25.05" customFormat="1" customHeight="1" s="86">
      <c r="B265" s="88" t="n"/>
      <c r="E265" s="89" t="n"/>
      <c r="H265" s="312" t="n"/>
      <c r="Y265" s="1" t="n"/>
    </row>
    <row r="266" ht="25.05" customFormat="1" customHeight="1" s="86">
      <c r="B266" s="88" t="n"/>
      <c r="E266" s="89" t="n"/>
      <c r="H266" s="312" t="n"/>
      <c r="Y266" s="1" t="n"/>
    </row>
    <row r="267" ht="25.05" customFormat="1" customHeight="1" s="86">
      <c r="B267" s="88" t="n"/>
      <c r="E267" s="89" t="n"/>
      <c r="H267" s="312" t="n"/>
      <c r="Y267" s="1" t="n"/>
    </row>
    <row r="268" ht="25.05" customFormat="1" customHeight="1" s="86">
      <c r="B268" s="88" t="n"/>
      <c r="E268" s="89" t="n"/>
      <c r="H268" s="312" t="n"/>
      <c r="Y268" s="1" t="n"/>
    </row>
    <row r="269" ht="25.05" customFormat="1" customHeight="1" s="86">
      <c r="B269" s="88" t="n"/>
      <c r="E269" s="89" t="n"/>
      <c r="H269" s="312" t="n"/>
      <c r="Y269" s="1" t="n"/>
    </row>
    <row r="270" ht="25.05" customFormat="1" customHeight="1" s="86">
      <c r="B270" s="88" t="n"/>
      <c r="E270" s="89" t="n"/>
      <c r="H270" s="312" t="n"/>
      <c r="Y270" s="1" t="n"/>
    </row>
    <row r="271" ht="25.05" customFormat="1" customHeight="1" s="86">
      <c r="B271" s="88" t="n"/>
      <c r="E271" s="89" t="n"/>
      <c r="H271" s="312" t="n"/>
      <c r="Y271" s="1" t="n"/>
    </row>
    <row r="272" ht="25.05" customFormat="1" customHeight="1" s="86">
      <c r="B272" s="88" t="n"/>
      <c r="E272" s="89" t="n"/>
      <c r="H272" s="312" t="n"/>
      <c r="Y272" s="1" t="n"/>
    </row>
    <row r="273" ht="25.05" customFormat="1" customHeight="1" s="86">
      <c r="B273" s="88" t="n"/>
      <c r="E273" s="89" t="n"/>
      <c r="H273" s="312" t="n"/>
      <c r="Y273" s="1" t="n"/>
    </row>
    <row r="274" ht="25.05" customFormat="1" customHeight="1" s="86">
      <c r="B274" s="88" t="n"/>
      <c r="E274" s="89" t="n"/>
      <c r="H274" s="312" t="n"/>
      <c r="Y274" s="1" t="n"/>
    </row>
    <row r="275" ht="25.05" customFormat="1" customHeight="1" s="86">
      <c r="B275" s="88" t="n"/>
      <c r="E275" s="89" t="n"/>
      <c r="H275" s="312" t="n"/>
      <c r="Y275" s="1" t="n"/>
    </row>
    <row r="276" ht="25.05" customFormat="1" customHeight="1" s="86">
      <c r="B276" s="88" t="n"/>
      <c r="E276" s="89" t="n"/>
      <c r="H276" s="312" t="n"/>
      <c r="Y276" s="1" t="n"/>
    </row>
    <row r="277" ht="25.05" customFormat="1" customHeight="1" s="86">
      <c r="B277" s="88" t="n"/>
      <c r="E277" s="89" t="n"/>
      <c r="H277" s="312" t="n"/>
      <c r="Y277" s="1" t="n"/>
    </row>
    <row r="278" ht="25.05" customFormat="1" customHeight="1" s="86">
      <c r="B278" s="88" t="n"/>
      <c r="E278" s="89" t="n"/>
      <c r="H278" s="312" t="n"/>
      <c r="Y278" s="1" t="n"/>
    </row>
    <row r="279" ht="25.05" customFormat="1" customHeight="1" s="86">
      <c r="B279" s="88" t="n"/>
      <c r="E279" s="89" t="n"/>
      <c r="H279" s="312" t="n"/>
      <c r="Y279" s="1" t="n"/>
    </row>
    <row r="280" ht="25.05" customFormat="1" customHeight="1" s="86">
      <c r="B280" s="88" t="n"/>
      <c r="E280" s="89" t="n"/>
      <c r="H280" s="312" t="n"/>
      <c r="Y280" s="1" t="n"/>
    </row>
    <row r="281" ht="25.05" customFormat="1" customHeight="1" s="86">
      <c r="B281" s="88" t="n"/>
      <c r="E281" s="89" t="n"/>
      <c r="H281" s="312" t="n"/>
      <c r="Y281" s="1" t="n"/>
    </row>
    <row r="282" ht="25.05" customFormat="1" customHeight="1" s="86">
      <c r="B282" s="88" t="n"/>
      <c r="E282" s="89" t="n"/>
      <c r="H282" s="312" t="n"/>
      <c r="Y282" s="1" t="n"/>
    </row>
    <row r="283" ht="25.05" customFormat="1" customHeight="1" s="86">
      <c r="B283" s="88" t="n"/>
      <c r="E283" s="89" t="n"/>
      <c r="H283" s="312" t="n"/>
      <c r="Y283" s="1" t="n"/>
    </row>
    <row r="284" ht="25.05" customFormat="1" customHeight="1" s="86">
      <c r="B284" s="88" t="n"/>
      <c r="E284" s="89" t="n"/>
      <c r="H284" s="312" t="n"/>
      <c r="Y284" s="1" t="n"/>
    </row>
    <row r="285" ht="25.05" customFormat="1" customHeight="1" s="86">
      <c r="B285" s="88" t="n"/>
      <c r="E285" s="89" t="n"/>
      <c r="H285" s="312" t="n"/>
      <c r="Y285" s="1" t="n"/>
    </row>
    <row r="286" ht="25.05" customFormat="1" customHeight="1" s="86">
      <c r="B286" s="88" t="n"/>
      <c r="E286" s="89" t="n"/>
      <c r="H286" s="312" t="n"/>
      <c r="Y286" s="1" t="n"/>
    </row>
    <row r="287" ht="25.05" customFormat="1" customHeight="1" s="86">
      <c r="B287" s="88" t="n"/>
      <c r="E287" s="89" t="n"/>
      <c r="H287" s="312" t="n"/>
      <c r="Y287" s="1" t="n"/>
    </row>
    <row r="288" ht="25.05" customFormat="1" customHeight="1" s="86">
      <c r="B288" s="88" t="n"/>
      <c r="E288" s="89" t="n"/>
      <c r="H288" s="312" t="n"/>
      <c r="Y288" s="1" t="n"/>
    </row>
    <row r="289" ht="25.05" customFormat="1" customHeight="1" s="86">
      <c r="B289" s="88" t="n"/>
      <c r="E289" s="89" t="n"/>
      <c r="H289" s="312" t="n"/>
      <c r="Y289" s="1" t="n"/>
    </row>
    <row r="290" ht="25.05" customFormat="1" customHeight="1" s="86">
      <c r="B290" s="88" t="n"/>
      <c r="E290" s="89" t="n"/>
      <c r="H290" s="312" t="n"/>
      <c r="Y290" s="1" t="n"/>
    </row>
    <row r="291" ht="25.05" customFormat="1" customHeight="1" s="86">
      <c r="B291" s="88" t="n"/>
      <c r="E291" s="89" t="n"/>
      <c r="H291" s="312" t="n"/>
      <c r="Y291" s="1" t="n"/>
    </row>
    <row r="292" ht="25.05" customFormat="1" customHeight="1" s="86">
      <c r="B292" s="88" t="n"/>
      <c r="E292" s="89" t="n"/>
      <c r="H292" s="312" t="n"/>
      <c r="Y292" s="1" t="n"/>
    </row>
    <row r="293" ht="25.05" customFormat="1" customHeight="1" s="86">
      <c r="B293" s="88" t="n"/>
      <c r="E293" s="89" t="n"/>
      <c r="H293" s="312" t="n"/>
      <c r="Y293" s="1" t="n"/>
    </row>
    <row r="294" ht="25.05" customFormat="1" customHeight="1" s="86">
      <c r="B294" s="88" t="n"/>
      <c r="E294" s="89" t="n"/>
      <c r="H294" s="312" t="n"/>
      <c r="Y294" s="1" t="n"/>
      <c r="AB294" s="348" t="n"/>
    </row>
    <row r="295" ht="25.05" customFormat="1" customHeight="1" s="86">
      <c r="B295" s="88" t="n"/>
      <c r="E295" s="89" t="n"/>
      <c r="H295" s="312" t="n"/>
      <c r="Y295" s="1" t="n"/>
    </row>
    <row r="296" ht="25.05" customFormat="1" customHeight="1" s="86">
      <c r="B296" s="88" t="n"/>
      <c r="E296" s="89" t="n"/>
      <c r="H296" s="312" t="n"/>
      <c r="Y296" s="1" t="n"/>
    </row>
    <row r="297" ht="25.05" customFormat="1" customHeight="1" s="86">
      <c r="B297" s="88" t="n"/>
      <c r="E297" s="89" t="n"/>
      <c r="H297" s="312" t="n"/>
      <c r="Y297" s="1" t="n"/>
    </row>
    <row r="298" ht="25.05" customFormat="1" customHeight="1" s="86">
      <c r="B298" s="88" t="n"/>
      <c r="E298" s="89" t="n"/>
      <c r="H298" s="312" t="n"/>
      <c r="Y298" s="1" t="n"/>
    </row>
    <row r="299" ht="25.05" customFormat="1" customHeight="1" s="86">
      <c r="B299" s="88" t="n"/>
      <c r="E299" s="89" t="n"/>
      <c r="H299" s="312" t="n"/>
      <c r="Y299" s="1" t="n"/>
    </row>
    <row r="300" ht="25.05" customFormat="1" customHeight="1" s="86">
      <c r="B300" s="88" t="n"/>
      <c r="E300" s="89" t="n"/>
      <c r="H300" s="312" t="n"/>
      <c r="Y300" s="1" t="n"/>
    </row>
    <row r="301" ht="25.05" customFormat="1" customHeight="1" s="86">
      <c r="B301" s="88" t="n"/>
      <c r="E301" s="89" t="n"/>
      <c r="H301" s="312" t="n"/>
      <c r="Y301" s="1" t="n"/>
    </row>
    <row r="302" ht="25.05" customFormat="1" customHeight="1" s="86">
      <c r="B302" s="88" t="n"/>
      <c r="E302" s="89" t="n"/>
      <c r="H302" s="312" t="n"/>
      <c r="Y302" s="1" t="n"/>
    </row>
    <row r="303" ht="25.05" customFormat="1" customHeight="1" s="86">
      <c r="B303" s="88" t="n"/>
      <c r="E303" s="89" t="n"/>
      <c r="H303" s="312" t="n"/>
      <c r="Y303" s="1" t="n"/>
    </row>
    <row r="304" ht="25.05" customFormat="1" customHeight="1" s="86">
      <c r="B304" s="88" t="n"/>
      <c r="E304" s="89" t="n"/>
      <c r="H304" s="312" t="n"/>
      <c r="Y304" s="1" t="n"/>
    </row>
    <row r="305" ht="25.05" customFormat="1" customHeight="1" s="86">
      <c r="B305" s="88" t="n"/>
      <c r="E305" s="89" t="n"/>
      <c r="H305" s="312" t="n"/>
      <c r="Y305" s="1" t="n"/>
    </row>
    <row r="306" ht="25.05" customFormat="1" customHeight="1" s="86">
      <c r="B306" s="88" t="n"/>
      <c r="E306" s="89" t="n"/>
      <c r="H306" s="312" t="n"/>
      <c r="Y306" s="1" t="n"/>
    </row>
    <row r="307" ht="25.05" customFormat="1" customHeight="1" s="86">
      <c r="B307" s="88" t="n"/>
      <c r="E307" s="89" t="n"/>
      <c r="H307" s="312" t="n"/>
      <c r="Y307" s="1" t="n"/>
    </row>
    <row r="308" ht="25.05" customFormat="1" customHeight="1" s="86">
      <c r="B308" s="88" t="n"/>
      <c r="E308" s="89" t="n"/>
      <c r="H308" s="312" t="n"/>
      <c r="Y308" s="1" t="n"/>
    </row>
    <row r="309" ht="25.05" customFormat="1" customHeight="1" s="87">
      <c r="B309" s="88" t="n"/>
      <c r="E309" s="89" t="n"/>
      <c r="H309" s="312" t="n"/>
      <c r="Y309" s="1" t="n"/>
    </row>
    <row r="310" ht="34.95" customHeight="1"/>
    <row r="311" ht="19.95" customHeight="1"/>
    <row r="312" ht="19.95" customHeight="1"/>
    <row r="313" ht="19.95" customHeight="1"/>
    <row r="314" ht="19.95" customHeight="1"/>
    <row r="315" ht="19.95" customHeight="1"/>
    <row r="316" ht="19.95" customHeight="1"/>
    <row r="317" ht="19.95" customHeight="1"/>
    <row r="318" ht="19.95" customHeight="1"/>
    <row r="319" ht="19.95" customHeight="1"/>
    <row r="320" ht="19.95" customHeight="1"/>
    <row r="321" ht="19.95" customHeight="1"/>
    <row r="322" ht="19.95" customHeight="1"/>
    <row r="323" ht="19.95" customHeight="1"/>
    <row r="324" ht="19.95" customHeight="1"/>
    <row r="325" ht="19.95" customHeight="1"/>
    <row r="326" ht="19.95" customHeight="1"/>
    <row r="327" ht="19.95" customHeight="1"/>
    <row r="328" ht="19.95" customHeight="1"/>
    <row r="329" ht="19.95" customHeight="1"/>
    <row r="330" ht="19.95" customHeight="1"/>
    <row r="331" ht="19.95" customHeight="1"/>
    <row r="332" ht="19.95" customHeight="1"/>
    <row r="333" ht="19.95" customHeight="1"/>
    <row r="334" ht="19.95" customHeight="1"/>
    <row r="335" ht="19.95" customHeight="1"/>
    <row r="336" ht="19.95" customHeight="1"/>
    <row r="337" ht="19.95" customHeight="1"/>
    <row r="338" ht="19.95" customHeight="1"/>
    <row r="339" ht="19.95" customHeight="1"/>
    <row r="340" ht="19.95" customHeight="1"/>
    <row r="341" ht="19.95" customHeight="1"/>
    <row r="342" ht="19.95" customHeight="1"/>
    <row r="343" ht="19.95" customHeight="1"/>
    <row r="344" ht="19.95" customHeight="1"/>
    <row r="345" ht="19.95" customHeight="1"/>
    <row r="346" ht="19.95" customHeight="1"/>
    <row r="347" ht="19.95" customHeight="1"/>
    <row r="348" ht="19.95" customHeight="1"/>
    <row r="349" ht="19.95" customHeight="1"/>
    <row r="350" ht="19.95" customHeight="1"/>
    <row r="351" ht="19.95" customHeight="1"/>
    <row r="352" ht="19.95" customHeight="1"/>
    <row r="353" ht="19.95" customHeight="1"/>
    <row r="354" ht="19.95" customHeight="1"/>
    <row r="355" ht="19.95" customHeight="1"/>
    <row r="356" ht="19.95" customHeight="1"/>
    <row r="357" ht="19.95" customHeight="1"/>
    <row r="358" ht="19.95" customHeight="1"/>
    <row r="359" ht="19.95" customHeight="1"/>
    <row r="360" ht="19.95" customHeight="1"/>
    <row r="361" ht="19.95" customHeight="1"/>
    <row r="362" ht="19.95" customHeight="1"/>
    <row r="363" ht="19.95" customHeight="1"/>
    <row r="364" ht="19.95" customHeight="1"/>
    <row r="365" ht="19.95" customHeight="1"/>
    <row r="366" ht="19.95" customHeight="1"/>
    <row r="367" ht="19.95" customHeight="1"/>
    <row r="368" ht="19.95" customHeight="1"/>
    <row r="369" ht="19.95" customHeight="1"/>
    <row r="370" ht="19.95" customHeight="1"/>
    <row r="371" ht="19.95" customHeight="1"/>
    <row r="372" ht="19.95" customHeight="1"/>
    <row r="373" ht="19.95" customHeight="1"/>
    <row r="374" ht="19.95" customHeight="1"/>
    <row r="375" ht="19.95" customHeight="1"/>
    <row r="376" ht="19.95" customHeight="1"/>
    <row r="377" ht="19.95" customHeight="1"/>
    <row r="378" ht="19.95" customHeight="1"/>
    <row r="379" ht="19.95" customHeight="1"/>
    <row r="380" ht="19.95" customHeight="1"/>
    <row r="381" ht="19.95" customHeight="1"/>
    <row r="382" ht="19.95" customHeight="1"/>
    <row r="383" ht="19.95" customHeight="1"/>
    <row r="384" ht="19.95" customHeight="1"/>
    <row r="385" ht="19.95" customHeight="1"/>
    <row r="386" ht="19.95" customHeight="1"/>
    <row r="387" ht="19.95" customHeight="1"/>
    <row r="388" ht="19.95" customHeight="1"/>
    <row r="389" ht="19.95" customHeight="1"/>
    <row r="390" ht="19.95" customHeight="1"/>
    <row r="391" ht="19.95" customHeight="1"/>
    <row r="392" ht="19.95" customHeight="1"/>
    <row r="393" ht="19.95" customHeight="1"/>
    <row r="394" ht="19.95" customHeight="1"/>
    <row r="395" ht="19.95" customHeight="1"/>
    <row r="396" ht="19.95" customHeight="1"/>
    <row r="397" ht="19.95" customHeight="1"/>
    <row r="398" ht="19.95" customHeight="1"/>
    <row r="399" ht="19.95" customHeight="1"/>
    <row r="400" ht="19.95" customHeight="1"/>
    <row r="401" ht="19.95" customHeight="1"/>
    <row r="402" ht="19.95" customHeight="1"/>
    <row r="403" ht="19.95" customHeight="1"/>
    <row r="404" ht="19.95" customHeight="1"/>
    <row r="405" ht="19.95" customHeight="1"/>
    <row r="406" ht="19.95" customHeight="1"/>
    <row r="407" ht="19.95" customHeight="1"/>
    <row r="408" ht="19.95" customHeight="1"/>
    <row r="409" ht="19.95" customHeight="1"/>
    <row r="410" ht="19.95" customHeight="1"/>
    <row r="411" ht="19.95" customHeight="1"/>
    <row r="412" ht="19.95" customHeight="1"/>
    <row r="413" ht="19.95" customHeight="1"/>
    <row r="414" ht="19.95" customHeight="1"/>
    <row r="415" ht="19.95" customHeight="1"/>
    <row r="416" ht="19.95" customHeight="1"/>
    <row r="417" ht="19.95" customHeight="1"/>
    <row r="418" ht="19.95" customHeight="1"/>
    <row r="419" ht="19.95" customHeight="1"/>
    <row r="420" ht="19.95" customHeight="1"/>
    <row r="421" ht="19.95" customHeight="1"/>
    <row r="422" ht="19.95" customHeight="1"/>
    <row r="423" ht="19.95" customHeight="1"/>
    <row r="424" ht="19.95" customHeight="1"/>
    <row r="425" ht="19.95" customHeight="1"/>
    <row r="426" ht="19.95" customHeight="1"/>
    <row r="427" ht="19.95" customHeight="1"/>
    <row r="428" ht="19.95" customHeight="1"/>
    <row r="429" ht="19.95" customHeight="1"/>
    <row r="430" ht="19.95" customHeight="1"/>
    <row r="431" ht="19.95" customHeight="1"/>
    <row r="432" ht="19.95" customHeight="1"/>
    <row r="433" ht="19.95" customHeight="1"/>
    <row r="434" ht="19.95" customHeight="1"/>
    <row r="435" ht="19.95" customHeight="1"/>
    <row r="436" ht="19.95" customHeight="1"/>
    <row r="437" ht="19.95" customHeight="1"/>
    <row r="438" ht="19.95" customHeight="1"/>
    <row r="439" ht="19.95" customHeight="1"/>
    <row r="440" ht="19.95" customHeight="1"/>
    <row r="441" ht="19.95" customHeight="1"/>
    <row r="442" ht="19.95" customHeight="1"/>
    <row r="443" ht="19.95" customHeight="1"/>
    <row r="444" ht="19.95" customHeight="1"/>
    <row r="445" ht="19.95" customHeight="1"/>
    <row r="446" ht="19.95" customHeight="1"/>
    <row r="447" ht="19.95" customHeight="1"/>
    <row r="448" ht="19.95" customHeight="1"/>
    <row r="449" ht="19.95" customHeight="1"/>
    <row r="450" ht="19.95" customHeight="1"/>
    <row r="451" ht="19.95" customHeight="1"/>
    <row r="452" ht="19.95" customHeight="1"/>
    <row r="453" ht="19.95" customHeight="1"/>
    <row r="454" ht="19.95" customHeight="1"/>
    <row r="455" ht="19.95" customHeight="1"/>
    <row r="456" ht="19.95" customHeight="1"/>
    <row r="457" ht="19.95" customHeight="1"/>
    <row r="458" ht="19.95" customHeight="1"/>
    <row r="459" ht="19.95" customHeight="1"/>
    <row r="460" ht="19.95" customHeight="1"/>
    <row r="461" ht="19.95" customHeight="1"/>
    <row r="462" ht="19.95" customHeight="1"/>
    <row r="463" ht="19.95" customHeight="1"/>
    <row r="464" ht="19.95" customHeight="1"/>
    <row r="465" ht="19.95" customHeight="1"/>
    <row r="466" ht="19.95" customHeight="1"/>
    <row r="467" ht="19.95" customHeight="1"/>
    <row r="468" ht="19.95" customHeight="1"/>
    <row r="469" ht="19.95" customHeight="1"/>
    <row r="470" ht="19.95" customHeight="1"/>
    <row r="471" ht="19.95" customHeight="1"/>
    <row r="472" ht="19.95" customHeight="1"/>
    <row r="473" ht="19.95" customHeight="1"/>
    <row r="474" ht="19.95" customHeight="1"/>
    <row r="475" ht="19.95" customHeight="1"/>
    <row r="476" ht="19.95" customHeight="1"/>
    <row r="477" ht="19.95" customHeight="1"/>
    <row r="478" ht="19.95" customHeight="1"/>
    <row r="479" ht="19.95" customHeight="1"/>
    <row r="480" ht="19.95" customHeight="1"/>
    <row r="481" ht="19.95" customHeight="1"/>
    <row r="482" ht="19.95" customHeight="1"/>
    <row r="483" ht="19.95" customHeight="1"/>
    <row r="484" ht="19.95" customHeight="1"/>
    <row r="485" ht="19.95" customHeight="1"/>
    <row r="486" ht="19.95" customHeight="1"/>
    <row r="487" ht="19.95" customHeight="1"/>
    <row r="488" ht="19.95" customHeight="1"/>
    <row r="489" ht="19.95" customHeight="1"/>
    <row r="490" ht="19.95" customHeight="1"/>
    <row r="491" ht="19.95" customHeight="1"/>
    <row r="492" ht="19.95" customHeight="1"/>
    <row r="493" ht="19.95" customHeight="1"/>
    <row r="494" ht="19.95" customHeight="1"/>
    <row r="495" ht="19.95" customHeight="1"/>
    <row r="496" ht="19.95" customHeight="1"/>
    <row r="497" ht="19.95" customHeight="1"/>
    <row r="498" ht="19.95" customHeight="1"/>
    <row r="499" ht="19.95" customHeight="1"/>
    <row r="500" ht="19.95" customHeight="1"/>
    <row r="501" ht="19.95" customHeight="1"/>
    <row r="502" ht="19.95" customHeight="1"/>
    <row r="503" ht="19.95" customHeight="1"/>
    <row r="504" ht="19.95" customHeight="1"/>
    <row r="505" ht="19.95" customHeight="1"/>
    <row r="506" ht="19.95" customHeight="1"/>
    <row r="507" ht="19.95" customHeight="1"/>
    <row r="508" ht="19.95" customHeight="1"/>
    <row r="509" ht="19.95" customHeight="1"/>
    <row r="510" ht="19.95" customHeight="1"/>
    <row r="511" ht="19.95" customHeight="1"/>
    <row r="512" ht="19.95" customHeight="1"/>
    <row r="513" ht="19.95" customHeight="1"/>
    <row r="514" ht="19.95" customHeight="1"/>
    <row r="515" ht="19.95" customHeight="1"/>
    <row r="516" ht="19.95" customHeight="1"/>
    <row r="517" ht="19.95" customHeight="1"/>
    <row r="518" ht="19.95" customHeight="1"/>
    <row r="519" ht="19.95" customHeight="1"/>
    <row r="520" ht="19.95" customHeight="1"/>
    <row r="521" ht="19.95" customHeight="1"/>
    <row r="522" ht="19.95" customHeight="1"/>
    <row r="523" ht="19.95" customHeight="1"/>
    <row r="524" ht="19.95" customHeight="1"/>
    <row r="525" ht="19.95" customHeight="1"/>
    <row r="526" ht="19.95" customHeight="1"/>
    <row r="527" ht="19.95" customHeight="1"/>
    <row r="528" ht="19.95" customHeight="1"/>
    <row r="529" ht="19.95" customHeight="1"/>
    <row r="530" ht="19.95" customHeight="1"/>
    <row r="531" ht="19.95" customHeight="1"/>
    <row r="532" ht="19.95" customHeight="1"/>
    <row r="533" ht="19.95" customHeight="1"/>
    <row r="534" ht="19.95" customHeight="1"/>
    <row r="535" ht="19.95" customHeight="1"/>
    <row r="536" ht="19.95" customHeight="1"/>
    <row r="537" ht="19.95" customHeight="1"/>
    <row r="538" ht="19.95" customHeight="1"/>
    <row r="539" ht="19.95" customHeight="1"/>
    <row r="540" ht="19.95" customHeight="1"/>
    <row r="541" ht="19.95" customHeight="1"/>
    <row r="542" ht="19.95" customHeight="1"/>
    <row r="543" ht="19.95" customHeight="1"/>
    <row r="544" ht="19.95" customHeight="1"/>
    <row r="545" ht="19.95" customHeight="1"/>
    <row r="546" ht="19.95" customHeight="1"/>
    <row r="547" ht="19.95" customHeight="1"/>
    <row r="548" ht="19.95" customHeight="1"/>
    <row r="549" ht="19.95" customHeight="1"/>
    <row r="550" ht="19.95" customHeight="1"/>
    <row r="551" ht="19.95" customHeight="1"/>
    <row r="552" ht="19.95" customHeight="1"/>
    <row r="553" ht="19.95" customHeight="1"/>
    <row r="554" ht="19.95" customHeight="1"/>
    <row r="555" ht="19.95" customHeight="1"/>
    <row r="556" ht="19.95" customHeight="1"/>
    <row r="557" ht="19.95" customHeight="1"/>
    <row r="558" ht="19.95" customHeight="1"/>
    <row r="559" ht="19.95" customHeight="1"/>
    <row r="560" ht="19.95" customHeight="1"/>
    <row r="561" ht="19.95" customHeight="1"/>
    <row r="562" ht="19.95" customHeight="1"/>
    <row r="563" ht="19.95" customHeight="1"/>
    <row r="564" ht="19.95" customHeight="1"/>
    <row r="565" ht="19.95" customHeight="1"/>
    <row r="566" ht="19.95" customHeight="1"/>
    <row r="567" ht="19.95" customHeight="1"/>
    <row r="568" ht="19.95" customHeight="1"/>
    <row r="569" ht="19.95" customHeight="1"/>
    <row r="570" ht="19.95" customHeight="1"/>
    <row r="571" ht="19.95" customHeight="1"/>
    <row r="572" ht="19.95" customHeight="1"/>
    <row r="573" ht="19.95" customHeight="1"/>
    <row r="574" ht="19.95" customHeight="1"/>
    <row r="575" ht="19.95" customHeight="1"/>
    <row r="576" ht="19.95" customHeight="1"/>
    <row r="577" ht="19.95" customHeight="1"/>
    <row r="578" ht="19.95" customHeight="1"/>
    <row r="579" ht="19.95" customHeight="1"/>
    <row r="580" ht="19.95" customHeight="1"/>
    <row r="581" ht="19.95" customHeight="1"/>
    <row r="582" ht="19.95" customHeight="1"/>
    <row r="583" ht="19.95" customHeight="1"/>
    <row r="584" ht="19.95" customHeight="1"/>
    <row r="585" ht="19.95" customHeight="1"/>
    <row r="586" ht="19.95" customHeight="1"/>
    <row r="587" ht="19.95" customHeight="1"/>
    <row r="588" ht="19.95" customHeight="1"/>
    <row r="589" ht="19.95" customHeight="1"/>
    <row r="590" ht="19.95" customHeight="1"/>
    <row r="591" ht="19.95" customHeight="1"/>
    <row r="592" ht="19.95" customHeight="1"/>
    <row r="593" ht="19.95" customHeight="1"/>
    <row r="594" ht="19.95" customHeight="1"/>
    <row r="595" ht="19.95" customHeight="1"/>
    <row r="596" ht="19.95" customHeight="1"/>
    <row r="597" ht="19.95" customHeight="1"/>
    <row r="598" ht="19.95" customHeight="1"/>
    <row r="599" ht="19.95" customHeight="1"/>
    <row r="600" ht="19.95" customHeight="1"/>
    <row r="601" ht="19.95" customHeight="1"/>
    <row r="602" ht="19.95" customHeight="1"/>
    <row r="603" ht="19.95" customHeight="1"/>
    <row r="604" ht="19.95" customHeight="1"/>
    <row r="605" ht="19.95" customHeight="1"/>
    <row r="606" ht="19.95" customHeight="1"/>
    <row r="607" ht="19.95" customHeight="1"/>
    <row r="608" ht="19.95" customHeight="1"/>
    <row r="609" ht="19.95" customHeight="1"/>
    <row r="610" ht="19.95" customHeight="1"/>
    <row r="611" ht="19.95" customHeight="1"/>
    <row r="612" ht="19.95" customHeight="1"/>
    <row r="613" ht="19.95" customHeight="1"/>
    <row r="614" ht="19.95" customHeight="1"/>
    <row r="615" ht="19.95" customHeight="1"/>
    <row r="616" ht="19.95" customHeight="1"/>
    <row r="617" ht="19.95" customHeight="1"/>
    <row r="618" ht="19.95" customHeight="1"/>
    <row r="619" ht="19.95" customHeight="1"/>
    <row r="620" ht="19.95" customHeight="1"/>
    <row r="621" ht="19.95" customHeight="1"/>
    <row r="622" ht="19.95" customHeight="1"/>
    <row r="623" ht="19.95" customHeight="1"/>
    <row r="624" ht="19.95" customHeight="1"/>
    <row r="625" ht="19.95" customHeight="1"/>
    <row r="626" ht="19.95" customHeight="1"/>
    <row r="627" ht="19.95" customHeight="1"/>
    <row r="628" ht="19.95" customHeight="1"/>
    <row r="629" ht="19.95" customHeight="1"/>
    <row r="630" ht="19.95" customHeight="1"/>
    <row r="631" ht="19.95" customHeight="1"/>
    <row r="632" ht="19.95" customHeight="1"/>
    <row r="633" ht="19.95" customHeight="1"/>
    <row r="634" ht="19.95" customHeight="1"/>
    <row r="635" ht="19.95" customHeight="1"/>
    <row r="636" ht="19.95" customHeight="1"/>
    <row r="637" ht="19.95" customHeight="1"/>
    <row r="638" ht="19.95" customHeight="1"/>
    <row r="639" ht="19.95" customHeight="1"/>
    <row r="640" ht="19.95" customHeight="1"/>
    <row r="641" ht="19.95" customHeight="1"/>
    <row r="642" ht="19.95" customHeight="1"/>
    <row r="643" ht="19.95" customHeight="1"/>
    <row r="644" ht="19.95" customHeight="1"/>
    <row r="645" ht="19.95" customHeight="1"/>
    <row r="646" ht="19.95" customHeight="1"/>
    <row r="647" ht="19.95" customHeight="1"/>
    <row r="648" ht="19.95" customHeight="1"/>
    <row r="649" ht="19.95" customHeight="1"/>
    <row r="650" ht="19.95" customHeight="1"/>
    <row r="651" ht="19.95" customHeight="1"/>
    <row r="652" ht="19.95" customHeight="1"/>
    <row r="653" ht="19.95" customHeight="1"/>
    <row r="654" ht="19.95" customHeight="1"/>
    <row r="655" ht="19.95" customHeight="1"/>
    <row r="656" ht="19.95" customHeight="1"/>
    <row r="657" ht="19.95" customHeight="1"/>
    <row r="658" ht="19.95" customHeight="1"/>
    <row r="659" ht="19.95" customHeight="1"/>
    <row r="660" ht="19.95" customHeight="1"/>
    <row r="661" ht="19.95" customHeight="1"/>
    <row r="662" ht="19.95" customHeight="1"/>
    <row r="663" ht="19.95" customHeight="1"/>
    <row r="664" ht="19.95" customHeight="1"/>
    <row r="665" ht="19.95" customHeight="1"/>
    <row r="666" ht="19.95" customHeight="1"/>
    <row r="667" ht="19.95" customHeight="1"/>
    <row r="668" ht="19.95" customHeight="1"/>
    <row r="669" ht="19.95" customHeight="1"/>
    <row r="670" ht="19.95" customHeight="1"/>
    <row r="671" ht="19.95" customHeight="1"/>
    <row r="672" ht="19.95" customHeight="1"/>
    <row r="673" ht="19.95" customHeight="1"/>
    <row r="674" ht="19.95" customHeight="1"/>
    <row r="675" ht="19.95" customHeight="1"/>
    <row r="676" ht="19.95" customHeight="1"/>
    <row r="677" ht="19.95" customHeight="1"/>
    <row r="678" ht="19.95" customHeight="1"/>
    <row r="679" ht="19.95" customHeight="1"/>
    <row r="680" ht="19.95" customHeight="1"/>
    <row r="681" ht="19.95" customHeight="1"/>
    <row r="682" ht="19.95" customHeight="1"/>
    <row r="683" ht="19.95" customHeight="1"/>
    <row r="684" ht="19.95" customHeight="1"/>
    <row r="685" ht="19.95" customHeight="1"/>
    <row r="686" ht="19.95" customHeight="1"/>
    <row r="687" ht="19.95" customHeight="1"/>
    <row r="688" ht="19.95" customHeight="1"/>
    <row r="689" ht="19.95" customHeight="1"/>
    <row r="690" ht="19.95" customHeight="1"/>
    <row r="691" ht="19.95" customHeight="1"/>
    <row r="692" ht="19.95" customHeight="1"/>
    <row r="693" ht="19.95" customHeight="1"/>
    <row r="694" ht="19.95" customHeight="1"/>
    <row r="695" ht="19.95" customHeight="1"/>
    <row r="696" ht="19.95" customHeight="1"/>
    <row r="697" ht="19.95" customHeight="1"/>
    <row r="698" ht="19.95" customHeight="1"/>
    <row r="699" ht="19.95" customHeight="1"/>
    <row r="700" ht="19.95" customHeight="1"/>
    <row r="701" ht="19.95" customHeight="1"/>
    <row r="702" ht="19.95" customHeight="1"/>
    <row r="703" ht="19.95" customHeight="1"/>
    <row r="704" ht="19.95" customHeight="1"/>
    <row r="705" ht="19.95" customHeight="1"/>
    <row r="706" ht="19.95" customHeight="1"/>
    <row r="707" ht="19.95" customHeight="1"/>
    <row r="708" ht="19.95" customHeight="1"/>
    <row r="709" ht="19.95" customHeight="1"/>
    <row r="710" ht="19.95" customHeight="1"/>
    <row r="711" ht="19.95" customHeight="1"/>
    <row r="712" ht="19.95" customHeight="1"/>
    <row r="713" ht="19.95" customHeight="1"/>
    <row r="714" ht="19.95" customHeight="1"/>
    <row r="715" ht="19.95" customHeight="1"/>
    <row r="716" ht="19.95" customHeight="1"/>
    <row r="717" ht="19.95" customHeight="1"/>
    <row r="718" ht="19.95" customHeight="1"/>
    <row r="719" ht="19.95" customHeight="1"/>
    <row r="720" ht="19.95" customHeight="1"/>
    <row r="721" ht="19.95" customHeight="1"/>
    <row r="722" ht="19.95" customHeight="1"/>
    <row r="723" ht="19.95" customHeight="1"/>
    <row r="724" ht="19.95" customHeight="1"/>
    <row r="725" ht="19.95" customHeight="1"/>
    <row r="726" ht="19.95" customHeight="1"/>
    <row r="727" ht="19.95" customHeight="1"/>
    <row r="728" ht="19.95" customHeight="1"/>
    <row r="729" ht="19.95" customHeight="1"/>
    <row r="730" ht="19.95" customHeight="1"/>
    <row r="731" ht="19.95" customHeight="1"/>
    <row r="732" ht="19.95" customHeight="1"/>
    <row r="733" ht="19.95" customHeight="1"/>
    <row r="734" ht="19.95" customHeight="1"/>
    <row r="735" ht="19.95" customHeight="1"/>
    <row r="736" ht="19.95" customHeight="1"/>
    <row r="737" ht="19.95" customHeight="1"/>
    <row r="738" ht="19.95" customHeight="1"/>
    <row r="739" ht="19.95" customHeight="1"/>
    <row r="740" ht="19.95" customHeight="1"/>
    <row r="741" ht="19.95" customHeight="1"/>
    <row r="742" ht="19.95" customHeight="1"/>
    <row r="743" ht="19.95" customHeight="1"/>
    <row r="744" ht="19.95" customHeight="1"/>
    <row r="745" ht="19.95" customHeight="1"/>
    <row r="746" ht="19.95" customHeight="1"/>
    <row r="747" ht="19.95" customHeight="1"/>
    <row r="748" ht="19.95" customHeight="1"/>
    <row r="749" ht="19.95" customHeight="1"/>
    <row r="750" ht="19.95" customHeight="1"/>
    <row r="751" ht="19.95" customHeight="1"/>
    <row r="752" ht="19.95" customHeight="1"/>
    <row r="753" ht="19.95" customHeight="1"/>
    <row r="754" ht="19.95" customHeight="1"/>
    <row r="755" ht="19.95" customHeight="1"/>
    <row r="756" ht="19.95" customHeight="1"/>
    <row r="757" ht="19.95" customHeight="1"/>
    <row r="758" ht="19.95" customHeight="1"/>
    <row r="759" ht="19.95" customHeight="1"/>
    <row r="760" ht="19.95" customHeight="1"/>
    <row r="761" ht="19.95" customHeight="1"/>
    <row r="762" ht="19.95" customHeight="1"/>
    <row r="763" ht="19.95" customHeight="1"/>
    <row r="764" ht="19.95" customHeight="1"/>
    <row r="765" ht="19.95" customHeight="1"/>
    <row r="766" ht="19.95" customHeight="1"/>
    <row r="767" ht="19.95" customHeight="1"/>
    <row r="768" ht="19.95" customHeight="1"/>
    <row r="769" ht="19.95" customHeight="1"/>
    <row r="770" ht="19.95" customHeight="1"/>
    <row r="771" ht="19.95" customHeight="1"/>
    <row r="772" ht="19.95" customHeight="1"/>
    <row r="773" ht="19.95" customHeight="1"/>
    <row r="774" ht="19.95" customHeight="1"/>
    <row r="775" ht="19.95" customHeight="1"/>
    <row r="776" ht="19.95" customHeight="1"/>
    <row r="777" ht="19.95" customHeight="1"/>
    <row r="778" ht="19.95" customHeight="1"/>
    <row r="779" ht="19.95" customHeight="1"/>
    <row r="780" ht="19.95" customHeight="1"/>
    <row r="781" ht="19.95" customHeight="1"/>
    <row r="782" ht="19.95" customHeight="1"/>
    <row r="783" ht="19.95" customHeight="1"/>
    <row r="784" ht="19.95" customHeight="1"/>
    <row r="785" ht="19.95" customHeight="1"/>
    <row r="786" ht="19.95" customHeight="1"/>
    <row r="787" ht="19.95" customHeight="1"/>
    <row r="788" ht="19.95" customHeight="1"/>
    <row r="789" ht="19.95" customHeight="1"/>
    <row r="790" ht="19.95" customHeight="1"/>
    <row r="791" ht="19.95" customHeight="1"/>
    <row r="792" ht="19.95" customHeight="1"/>
    <row r="793" ht="19.95" customHeight="1"/>
    <row r="794" ht="19.95" customHeight="1"/>
    <row r="795" ht="19.95" customHeight="1"/>
    <row r="796" ht="19.95" customHeight="1"/>
    <row r="797" ht="19.95" customHeight="1"/>
    <row r="798" ht="19.95" customHeight="1"/>
    <row r="799" ht="19.95" customHeight="1"/>
    <row r="800" ht="19.95" customHeight="1"/>
    <row r="801" ht="19.95" customHeight="1"/>
    <row r="802" ht="19.95" customHeight="1"/>
    <row r="803" ht="19.95" customHeight="1"/>
    <row r="804" ht="19.95" customHeight="1"/>
    <row r="805" ht="19.95" customHeight="1"/>
    <row r="806" ht="19.95" customHeight="1"/>
    <row r="807" ht="19.95" customHeight="1"/>
    <row r="808" ht="19.95" customHeight="1"/>
    <row r="809" ht="19.95" customHeight="1"/>
    <row r="810" ht="19.95" customHeight="1"/>
    <row r="811" ht="19.95" customHeight="1"/>
    <row r="812" ht="19.95" customHeight="1"/>
    <row r="813" ht="19.95" customHeight="1"/>
    <row r="814" ht="19.95" customHeight="1"/>
    <row r="815" ht="19.95" customHeight="1"/>
    <row r="816" ht="19.95" customHeight="1"/>
    <row r="817" ht="19.95" customHeight="1"/>
    <row r="818" ht="19.95" customHeight="1"/>
    <row r="819" ht="19.95" customHeight="1"/>
    <row r="820" ht="19.95" customHeight="1"/>
    <row r="821" ht="19.95" customHeight="1"/>
    <row r="822" ht="19.95" customHeight="1"/>
    <row r="823" ht="19.95" customHeight="1"/>
    <row r="824" ht="19.95" customHeight="1"/>
    <row r="825" ht="19.95" customHeight="1"/>
    <row r="826" ht="19.95" customHeight="1"/>
    <row r="827" ht="19.95" customHeight="1"/>
    <row r="828" ht="19.95" customHeight="1"/>
    <row r="829" ht="19.95" customHeight="1"/>
    <row r="830" ht="19.95" customHeight="1"/>
    <row r="831" ht="19.95" customHeight="1"/>
    <row r="832" ht="19.95" customHeight="1"/>
    <row r="833" ht="19.95" customHeight="1"/>
    <row r="834" ht="19.95" customHeight="1"/>
    <row r="835" ht="19.95" customHeight="1"/>
    <row r="836" ht="19.95" customHeight="1"/>
    <row r="837" ht="19.95" customHeight="1"/>
    <row r="838" ht="19.95" customHeight="1"/>
    <row r="839" ht="19.95" customHeight="1"/>
    <row r="840" ht="19.95" customHeight="1"/>
    <row r="841" ht="19.95" customHeight="1"/>
    <row r="842" ht="19.95" customHeight="1"/>
    <row r="843" ht="19.95" customHeight="1"/>
    <row r="844" ht="19.95" customHeight="1"/>
    <row r="845" ht="19.95" customHeight="1"/>
    <row r="846" ht="19.95" customHeight="1"/>
    <row r="847" ht="19.95" customHeight="1"/>
    <row r="848" ht="19.95" customHeight="1"/>
    <row r="849" ht="19.95" customHeight="1"/>
    <row r="850" ht="19.95" customHeight="1"/>
    <row r="851" ht="19.95" customHeight="1"/>
    <row r="852" ht="19.95" customHeight="1"/>
    <row r="853" ht="19.95" customHeight="1"/>
    <row r="854" ht="19.95" customHeight="1"/>
    <row r="855" ht="19.95" customHeight="1"/>
    <row r="856" ht="19.95" customHeight="1"/>
    <row r="857" ht="19.95" customHeight="1"/>
    <row r="858" ht="19.95" customHeight="1"/>
    <row r="859" ht="19.95" customHeight="1"/>
    <row r="860" ht="19.95" customHeight="1"/>
    <row r="861" ht="19.95" customHeight="1"/>
    <row r="862" ht="19.95" customHeight="1"/>
    <row r="863" ht="19.95" customHeight="1"/>
    <row r="864" ht="19.95" customHeight="1"/>
    <row r="865" ht="19.95" customHeight="1"/>
    <row r="866" ht="19.95" customHeight="1"/>
    <row r="867" ht="19.95" customHeight="1"/>
    <row r="868" ht="19.95" customHeight="1"/>
    <row r="869" ht="19.95" customHeight="1"/>
    <row r="870" ht="19.95" customHeight="1"/>
    <row r="871" ht="19.95" customHeight="1"/>
    <row r="872" ht="19.95" customHeight="1"/>
    <row r="873" ht="19.95" customHeight="1"/>
    <row r="874" ht="19.95" customHeight="1"/>
    <row r="875" ht="19.95" customHeight="1"/>
    <row r="876" ht="19.95" customHeight="1"/>
    <row r="877" ht="19.95" customHeight="1"/>
    <row r="878" ht="19.95" customHeight="1"/>
    <row r="879" ht="19.95" customHeight="1"/>
    <row r="880" ht="19.95" customHeight="1"/>
    <row r="881" ht="19.95" customHeight="1"/>
    <row r="882" ht="19.95" customHeight="1"/>
    <row r="883" ht="19.95" customHeight="1"/>
    <row r="884" ht="19.95" customHeight="1"/>
    <row r="885" ht="19.95" customHeight="1"/>
    <row r="886" ht="19.95" customHeight="1"/>
    <row r="887" ht="19.95" customHeight="1"/>
    <row r="888" ht="19.95" customHeight="1"/>
    <row r="889" ht="19.95" customHeight="1"/>
    <row r="890" ht="19.95" customHeight="1"/>
    <row r="891" ht="19.95" customHeight="1"/>
    <row r="892" ht="19.95" customHeight="1"/>
    <row r="893" ht="19.95" customHeight="1"/>
    <row r="894" ht="19.95" customHeight="1"/>
    <row r="895" ht="19.95" customHeight="1"/>
    <row r="896" ht="19.95" customHeight="1"/>
    <row r="897" ht="19.95" customHeight="1"/>
    <row r="898" ht="19.95" customHeight="1"/>
    <row r="899" ht="19.95" customHeight="1"/>
    <row r="900" ht="19.95" customHeight="1"/>
    <row r="901" ht="19.95" customHeight="1"/>
    <row r="902" ht="19.95" customHeight="1"/>
    <row r="903" ht="19.95" customHeight="1"/>
    <row r="904" ht="19.95" customHeight="1"/>
    <row r="905" ht="19.95" customHeight="1"/>
    <row r="906" ht="19.95" customHeight="1"/>
    <row r="907" ht="19.95" customHeight="1"/>
    <row r="908" ht="19.95" customHeight="1"/>
    <row r="909" ht="19.95" customHeight="1"/>
    <row r="910" ht="19.95" customHeight="1"/>
    <row r="911" ht="19.95" customHeight="1"/>
    <row r="912" ht="19.95" customHeight="1"/>
    <row r="913" ht="19.95" customHeight="1"/>
    <row r="914" ht="19.95" customHeight="1"/>
    <row r="915" ht="19.95" customHeight="1"/>
    <row r="916" ht="19.95" customHeight="1"/>
    <row r="917" ht="19.95" customHeight="1"/>
    <row r="918" ht="19.95" customHeight="1"/>
    <row r="919" ht="19.95" customHeight="1"/>
    <row r="920" ht="19.95" customHeight="1"/>
    <row r="921" ht="19.95" customHeight="1"/>
    <row r="922" ht="19.95" customHeight="1"/>
    <row r="923" ht="19.95" customHeight="1"/>
    <row r="924" ht="19.95" customHeight="1"/>
    <row r="925" ht="19.95" customHeight="1"/>
    <row r="926" ht="19.95" customHeight="1"/>
    <row r="927" ht="19.95" customHeight="1"/>
    <row r="928" ht="19.95" customHeight="1"/>
    <row r="929" ht="19.95" customHeight="1"/>
    <row r="930" ht="19.95" customHeight="1"/>
    <row r="931" ht="19.95" customHeight="1"/>
    <row r="932" ht="19.95" customHeight="1"/>
    <row r="933" ht="19.95" customHeight="1"/>
    <row r="934" ht="19.95" customHeight="1"/>
    <row r="935" ht="19.95" customHeight="1"/>
    <row r="936" ht="19.95" customHeight="1"/>
    <row r="937" ht="19.95" customHeight="1"/>
    <row r="938" ht="19.95" customHeight="1"/>
    <row r="939" ht="19.95" customHeight="1"/>
    <row r="940" ht="19.95" customHeight="1"/>
    <row r="941" ht="19.95" customHeight="1"/>
    <row r="942" ht="19.95" customHeight="1"/>
    <row r="943" ht="19.95" customHeight="1"/>
    <row r="944" ht="19.95" customHeight="1"/>
    <row r="945" ht="19.95" customHeight="1"/>
    <row r="946" ht="19.95" customHeight="1"/>
    <row r="947" ht="19.95" customHeight="1"/>
    <row r="948" ht="19.95" customHeight="1"/>
    <row r="949" ht="19.95" customHeight="1"/>
    <row r="950" ht="19.95" customHeight="1"/>
    <row r="951" ht="19.95" customHeight="1"/>
    <row r="952" ht="19.95" customHeight="1"/>
    <row r="953" ht="19.95" customHeight="1"/>
    <row r="954" ht="19.95" customHeight="1"/>
    <row r="955" ht="19.95" customHeight="1"/>
    <row r="956" ht="19.95" customHeight="1"/>
    <row r="957" ht="19.95" customHeight="1"/>
    <row r="958" ht="19.95" customHeight="1"/>
    <row r="959" ht="19.95" customHeight="1"/>
    <row r="960" ht="19.95" customHeight="1"/>
    <row r="961" ht="19.95" customHeight="1"/>
    <row r="962" ht="19.95" customHeight="1"/>
    <row r="963" ht="19.95" customHeight="1"/>
    <row r="964" ht="19.95" customHeight="1"/>
    <row r="965" ht="19.95" customHeight="1"/>
    <row r="966" ht="19.95" customHeight="1"/>
    <row r="967" ht="19.95" customHeight="1"/>
    <row r="968" ht="19.95" customHeight="1"/>
    <row r="969" ht="19.95" customHeight="1"/>
    <row r="970" ht="19.95" customHeight="1"/>
    <row r="971" ht="19.95" customHeight="1"/>
    <row r="972" ht="19.95" customHeight="1"/>
    <row r="973" ht="19.95" customHeight="1"/>
    <row r="974" ht="19.95" customHeight="1"/>
    <row r="975" ht="19.95" customHeight="1"/>
    <row r="976" ht="19.95" customHeight="1"/>
    <row r="977" ht="19.95" customHeight="1"/>
    <row r="978" ht="19.95" customHeight="1"/>
    <row r="979" ht="19.95" customHeight="1"/>
    <row r="980" ht="19.95" customHeight="1"/>
    <row r="981" ht="19.95" customHeight="1"/>
    <row r="982" ht="19.95" customHeight="1"/>
    <row r="983" ht="19.95" customHeight="1"/>
    <row r="984" ht="19.95" customHeight="1"/>
    <row r="985" ht="19.95" customHeight="1"/>
    <row r="986" ht="19.95" customHeight="1"/>
    <row r="987" ht="19.95" customHeight="1"/>
    <row r="988" ht="19.95" customHeight="1"/>
    <row r="989" ht="19.95" customHeight="1"/>
    <row r="990" ht="19.95" customHeight="1"/>
    <row r="991" ht="19.95" customHeight="1"/>
    <row r="992" ht="19.95" customHeight="1"/>
    <row r="993" ht="19.95" customHeight="1"/>
    <row r="994" ht="19.95" customHeight="1"/>
    <row r="995" ht="19.95" customHeight="1"/>
    <row r="996" ht="19.95" customHeight="1"/>
    <row r="997" ht="19.95" customHeight="1"/>
    <row r="998" ht="19.95" customHeight="1"/>
    <row r="999" ht="19.95" customHeight="1"/>
    <row r="1000" ht="19.95" customHeight="1"/>
    <row r="1001" ht="19.95" customHeight="1"/>
    <row r="1002" ht="19.95" customHeight="1"/>
    <row r="1003" ht="19.95" customHeight="1"/>
    <row r="1004" ht="19.95" customHeight="1"/>
    <row r="1005" ht="19.95" customHeight="1"/>
    <row r="1006" ht="19.95" customHeight="1"/>
    <row r="1007" ht="19.95" customHeight="1"/>
    <row r="1008" ht="19.95" customHeight="1"/>
    <row r="1009" ht="19.95" customHeight="1"/>
    <row r="1010" ht="19.95" customHeight="1"/>
    <row r="1011" ht="19.95" customHeight="1"/>
    <row r="1012" ht="19.95" customHeight="1"/>
    <row r="1013" ht="19.95" customHeight="1"/>
    <row r="1014" ht="19.95" customHeight="1"/>
    <row r="1015" ht="19.95" customHeight="1"/>
    <row r="1016" ht="19.95" customHeight="1"/>
    <row r="1017" ht="19.95" customHeight="1"/>
    <row r="1018" ht="19.95" customHeight="1"/>
    <row r="1019" ht="19.95" customHeight="1"/>
    <row r="1020" ht="19.95" customHeight="1"/>
    <row r="1021" ht="19.95" customHeight="1"/>
    <row r="1022" ht="19.95" customHeight="1"/>
    <row r="1023" ht="19.95" customHeight="1"/>
    <row r="1024" ht="19.95" customHeight="1"/>
    <row r="1025" ht="19.95" customHeight="1"/>
    <row r="1026" ht="19.95" customHeight="1"/>
    <row r="1027" ht="19.95" customHeight="1"/>
    <row r="1028" ht="19.95" customHeight="1"/>
    <row r="1029" ht="19.95" customHeight="1"/>
    <row r="1030" ht="19.95" customHeight="1"/>
    <row r="1031" ht="19.95" customHeight="1"/>
    <row r="1032" ht="19.95" customHeight="1"/>
    <row r="1033" ht="19.95" customHeight="1"/>
    <row r="1034" ht="19.95" customHeight="1"/>
    <row r="1035" ht="19.95" customHeight="1"/>
    <row r="1036" ht="19.95" customHeight="1"/>
    <row r="1037" ht="19.95" customHeight="1"/>
    <row r="1038" ht="19.95" customHeight="1"/>
    <row r="1039" ht="19.95" customHeight="1"/>
    <row r="1040" ht="19.95" customHeight="1"/>
    <row r="1041" ht="19.95" customHeight="1"/>
    <row r="1042" ht="19.95" customHeight="1"/>
    <row r="1043" ht="19.95" customHeight="1"/>
    <row r="1044" ht="19.95" customHeight="1"/>
    <row r="1045" ht="19.95" customHeight="1"/>
    <row r="1046" ht="19.95" customHeight="1"/>
    <row r="1047" ht="19.95" customHeight="1"/>
    <row r="1048" ht="19.95" customHeight="1"/>
    <row r="1049" ht="19.95" customHeight="1"/>
    <row r="1050" ht="19.95" customHeight="1"/>
    <row r="1051" ht="19.95" customHeight="1"/>
    <row r="1052" ht="19.95" customHeight="1"/>
    <row r="1053" ht="19.95" customHeight="1"/>
    <row r="1054" ht="19.95" customHeight="1"/>
    <row r="1055" ht="19.95" customHeight="1"/>
    <row r="1056" ht="19.95" customHeight="1"/>
    <row r="1057" ht="19.95" customHeight="1"/>
    <row r="1058" ht="19.95" customHeight="1"/>
    <row r="1059" ht="19.95" customHeight="1"/>
    <row r="1060" ht="19.95" customHeight="1"/>
    <row r="1061" ht="19.95" customHeight="1"/>
    <row r="1062" ht="19.95" customHeight="1"/>
    <row r="1063" ht="19.95" customHeight="1"/>
    <row r="1064" ht="19.95" customHeight="1"/>
    <row r="1065" ht="19.95" customHeight="1"/>
    <row r="1066" ht="19.95" customHeight="1"/>
    <row r="1067" ht="19.95" customHeight="1"/>
    <row r="1068" ht="19.95" customHeight="1"/>
    <row r="1069" ht="19.95" customHeight="1"/>
    <row r="1070" ht="19.95" customHeight="1"/>
    <row r="1071" ht="19.95" customHeight="1"/>
    <row r="1072" ht="19.95" customHeight="1"/>
    <row r="1073" ht="19.95" customHeight="1"/>
    <row r="1074" ht="19.95" customHeight="1"/>
    <row r="1075" ht="19.95" customHeight="1"/>
    <row r="1076" ht="19.95" customHeight="1"/>
    <row r="1077" ht="19.95" customHeight="1"/>
    <row r="1078" ht="19.95" customHeight="1"/>
    <row r="1079" ht="19.95" customHeight="1"/>
    <row r="1080" ht="19.95" customHeight="1"/>
    <row r="1081" ht="19.95" customHeight="1"/>
    <row r="1082" ht="19.95" customHeight="1"/>
    <row r="1083" ht="19.95" customHeight="1"/>
    <row r="1084" ht="19.95" customHeight="1"/>
    <row r="1085" ht="19.95" customHeight="1"/>
    <row r="1086" ht="19.95" customHeight="1"/>
    <row r="1087" ht="19.95" customHeight="1"/>
    <row r="1088" ht="19.95" customHeight="1"/>
    <row r="1089" ht="19.95" customHeight="1"/>
    <row r="1090" ht="19.95" customHeight="1"/>
    <row r="1091" ht="19.95" customHeight="1"/>
    <row r="1092" ht="19.95" customHeight="1"/>
    <row r="1093" ht="19.95" customHeight="1"/>
    <row r="1094" ht="19.95" customHeight="1"/>
    <row r="1095" ht="19.95" customHeight="1"/>
    <row r="1096" ht="19.95" customHeight="1"/>
    <row r="1097" ht="19.95" customHeight="1"/>
    <row r="1098" ht="19.95" customHeight="1"/>
    <row r="1099" ht="19.95" customHeight="1"/>
    <row r="1100" ht="19.95" customHeight="1"/>
    <row r="1101" ht="19.95" customHeight="1"/>
    <row r="1102" ht="19.95" customHeight="1"/>
    <row r="1103" ht="19.95" customHeight="1"/>
    <row r="1104" ht="19.95" customHeight="1"/>
    <row r="1105" ht="19.95" customHeight="1"/>
    <row r="1106" ht="19.95" customHeight="1"/>
    <row r="1107" ht="19.95" customHeight="1"/>
    <row r="1108" ht="19.95" customHeight="1"/>
    <row r="1109" ht="19.95" customHeight="1"/>
    <row r="1110" ht="19.95" customHeight="1"/>
    <row r="1111" ht="19.95" customHeight="1"/>
    <row r="1112" ht="19.95" customHeight="1"/>
    <row r="1113" ht="19.95" customHeight="1"/>
    <row r="1114" ht="19.95" customHeight="1"/>
    <row r="1115" ht="19.95" customHeight="1"/>
    <row r="1116" ht="19.95" customHeight="1"/>
    <row r="1117" ht="19.95" customHeight="1"/>
    <row r="1118" ht="19.95" customHeight="1"/>
    <row r="1119" ht="19.95" customHeight="1"/>
    <row r="1120" ht="19.95" customHeight="1"/>
    <row r="1121" ht="19.95" customHeight="1"/>
    <row r="1122" ht="19.95" customHeight="1"/>
    <row r="1123" ht="19.95" customHeight="1"/>
    <row r="1124" ht="19.95" customHeight="1"/>
    <row r="1125" ht="19.95" customHeight="1"/>
    <row r="1126" ht="19.95" customHeight="1"/>
    <row r="1127" ht="19.95" customHeight="1"/>
    <row r="1128" ht="19.95" customHeight="1"/>
    <row r="1129" ht="19.95" customHeight="1"/>
    <row r="1130" ht="19.95" customHeight="1"/>
    <row r="1131" ht="19.95" customHeight="1"/>
    <row r="1132" ht="19.95" customHeight="1"/>
    <row r="1133" ht="19.95" customHeight="1"/>
    <row r="1134" ht="19.95" customHeight="1"/>
    <row r="1135" ht="19.95" customHeight="1"/>
    <row r="1136" ht="19.95" customHeight="1"/>
    <row r="1137" ht="19.95" customHeight="1"/>
    <row r="1138" ht="19.95" customHeight="1"/>
    <row r="1139" ht="19.95" customHeight="1"/>
    <row r="1140" ht="19.95" customHeight="1"/>
    <row r="1141" ht="19.95" customHeight="1"/>
    <row r="1142" ht="19.95" customHeight="1"/>
    <row r="1143" ht="19.95" customHeight="1"/>
    <row r="1144" ht="19.95" customHeight="1"/>
    <row r="1145" ht="19.95" customHeight="1"/>
    <row r="1146" ht="19.95" customHeight="1"/>
    <row r="1147" ht="19.95" customHeight="1"/>
    <row r="1148" ht="19.95" customHeight="1"/>
    <row r="1149" ht="19.95" customHeight="1"/>
    <row r="1150" ht="19.95" customHeight="1"/>
    <row r="1151" ht="19.95" customHeight="1"/>
    <row r="1152" ht="19.95" customHeight="1"/>
    <row r="1153" ht="19.95" customHeight="1"/>
    <row r="1154" ht="19.95" customHeight="1"/>
    <row r="1155" ht="19.95" customHeight="1"/>
    <row r="1156" ht="19.95" customHeight="1"/>
    <row r="1157" ht="19.95" customHeight="1"/>
    <row r="1158" ht="19.95" customHeight="1"/>
    <row r="1159" ht="19.95" customHeight="1"/>
    <row r="1160" ht="19.95" customHeight="1"/>
    <row r="1161" ht="19.95" customHeight="1"/>
    <row r="1162" ht="34.05" customHeight="1"/>
    <row r="1165" ht="25.05" customHeight="1"/>
    <row r="1166" ht="25.05" customHeight="1"/>
    <row r="1167" ht="25.05" customHeight="1"/>
  </sheetData>
  <mergeCells count="24">
    <mergeCell ref="A14:J14"/>
    <mergeCell ref="B8:B9"/>
    <mergeCell ref="A5:A7"/>
    <mergeCell ref="G5:K6"/>
    <mergeCell ref="E6:E7"/>
    <mergeCell ref="P5:P7"/>
    <mergeCell ref="B6:B7"/>
    <mergeCell ref="M5:M7"/>
    <mergeCell ref="A10:F10"/>
    <mergeCell ref="A3:Z3"/>
    <mergeCell ref="A1:Y1"/>
    <mergeCell ref="V27:W27"/>
    <mergeCell ref="A2:Z2"/>
    <mergeCell ref="V26:W26"/>
    <mergeCell ref="O5:O7"/>
    <mergeCell ref="X26:Y26"/>
    <mergeCell ref="Q5:Q7"/>
    <mergeCell ref="N5:N7"/>
    <mergeCell ref="V30:Y30"/>
    <mergeCell ref="C6:C7"/>
    <mergeCell ref="D6:D7"/>
    <mergeCell ref="L5:L7"/>
    <mergeCell ref="F6:F7"/>
    <mergeCell ref="X27:Y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389"/>
  <sheetViews>
    <sheetView zoomScale="50" zoomScaleNormal="50" workbookViewId="0">
      <pane ySplit="7" topLeftCell="A61" activePane="bottomLeft" state="frozen"/>
      <selection pane="bottomLeft" activeCell="Z43" sqref="Z43"/>
    </sheetView>
  </sheetViews>
  <sheetFormatPr baseColWidth="8" defaultColWidth="8.69921875" defaultRowHeight="13.8"/>
  <cols>
    <col width="15.796875" customWidth="1" style="88" min="2" max="2"/>
    <col width="10.69921875" customWidth="1" min="3" max="3"/>
    <col width="16.5" customWidth="1" min="4" max="4"/>
    <col width="19.09765625" customWidth="1" style="89" min="5" max="5"/>
    <col width="8" customWidth="1" style="312" min="8" max="8"/>
    <col width="8.8984375" customWidth="1" min="19" max="19"/>
    <col width="10.19921875" customWidth="1" min="20" max="20"/>
    <col width="12.3984375" customWidth="1" min="21" max="21"/>
    <col width="13.296875" customWidth="1" min="22" max="22"/>
    <col width="12.3984375" customWidth="1" min="23" max="23"/>
    <col width="12" customWidth="1" min="24" max="24"/>
    <col width="12.3984375" customWidth="1" style="1" min="25" max="25"/>
    <col width="15.8984375" customWidth="1" min="26" max="26"/>
  </cols>
  <sheetData>
    <row r="1" ht="43.05" customHeight="1">
      <c r="A1" s="232" t="inlineStr">
        <is>
          <t xml:space="preserve">BẢNG THỐNG KÊ KHỐI LƯỢNG CỌC </t>
        </is>
      </c>
      <c r="Z1" s="313" t="n"/>
    </row>
    <row r="2" ht="24" customHeight="1">
      <c r="A2" s="235" t="inlineStr">
        <is>
          <t xml:space="preserve">CÔNG TRÌNH:                 NHÀ MÁY CÔNG NGHỆ RED BOARD VIỆT NAM </t>
        </is>
      </c>
    </row>
    <row r="3" ht="21" customFormat="1" customHeight="1" s="85">
      <c r="A3" s="235" t="inlineStr">
        <is>
          <t>NHÀ THẦU THI CÔNG:  CÔNG TY TNHH XÂY DỰNG &amp; XỬ LÝ NỀN MÓNG VIỆT HÙNG</t>
        </is>
      </c>
    </row>
    <row r="4">
      <c r="A4" s="82" t="n"/>
      <c r="B4" s="314" t="n"/>
      <c r="C4" s="315" t="n"/>
      <c r="D4" s="243" t="n"/>
      <c r="E4" s="82" t="n"/>
      <c r="F4" s="82" t="n"/>
      <c r="G4" s="82" t="n"/>
      <c r="H4" s="316" t="n"/>
      <c r="I4" s="82" t="n"/>
      <c r="J4" s="82" t="n"/>
      <c r="K4" s="82" t="n"/>
      <c r="L4" s="117" t="n"/>
      <c r="M4" s="117" t="n"/>
      <c r="N4" s="117" t="n"/>
      <c r="O4" s="117" t="n"/>
      <c r="P4" s="117" t="n"/>
      <c r="Q4" s="117" t="n"/>
      <c r="R4" s="117" t="n"/>
      <c r="S4" s="82" t="n"/>
      <c r="T4" s="82" t="n"/>
      <c r="U4" s="82" t="n"/>
      <c r="V4" s="82" t="n"/>
      <c r="W4" s="82" t="n"/>
      <c r="X4" s="82" t="n"/>
      <c r="Y4" s="317" t="n"/>
      <c r="Z4" s="317" t="n"/>
    </row>
    <row r="5" ht="37.05" customFormat="1" customHeight="1" s="35">
      <c r="A5" s="204" t="inlineStr">
        <is>
          <t>STT</t>
        </is>
      </c>
      <c r="B5" s="318" t="inlineStr">
        <is>
          <t>Ngày, tháng</t>
        </is>
      </c>
      <c r="C5" s="318" t="inlineStr">
        <is>
          <t>Máy ép</t>
        </is>
      </c>
      <c r="D5" s="97" t="inlineStr">
        <is>
          <t>Tên cọc</t>
        </is>
      </c>
      <c r="E5" s="98" t="inlineStr">
        <is>
          <t>Vị trí</t>
        </is>
      </c>
      <c r="F5" s="99" t="inlineStr">
        <is>
          <t>Loại cọc</t>
        </is>
      </c>
      <c r="G5" s="97" t="inlineStr">
        <is>
          <t>Tổ hợp cọc / Pile detail length
(m)</t>
        </is>
      </c>
      <c r="H5" s="319" t="n"/>
      <c r="I5" s="319" t="n"/>
      <c r="J5" s="319" t="n"/>
      <c r="K5" s="320" t="n"/>
      <c r="L5" s="262" t="inlineStr">
        <is>
          <t>Tổng hợp / Total
(m)</t>
        </is>
      </c>
      <c r="M5" s="319" t="n"/>
      <c r="N5" s="319" t="n"/>
      <c r="O5" s="319" t="n"/>
      <c r="P5" s="319" t="n"/>
      <c r="Q5" s="319" t="n"/>
      <c r="R5" s="319" t="n"/>
      <c r="S5" s="319" t="n"/>
      <c r="T5" s="320" t="n"/>
      <c r="U5" s="218" t="inlineStr">
        <is>
          <t xml:space="preserve">Chiều dài cọc / Total of pile detail length
(m) </t>
        </is>
      </c>
      <c r="V5" s="204" t="inlineStr">
        <is>
          <t>Chiều dài cọc ép thực tế / Length of pile under ground
(m)</t>
        </is>
      </c>
      <c r="W5" s="204" t="inlineStr">
        <is>
          <t>cắt cọc</t>
        </is>
      </c>
      <c r="X5" s="204" t="inlineStr">
        <is>
          <t>Ép âm, dương / Length of pile pressing positive
(m)</t>
        </is>
      </c>
      <c r="Y5" s="321" t="inlineStr">
        <is>
          <t>Lực ép / Pressing force
(Ton)</t>
        </is>
      </c>
      <c r="Z5" s="321" t="inlineStr">
        <is>
          <t>Ghi chú
Remark</t>
        </is>
      </c>
    </row>
    <row r="6" ht="37.05" customFormat="1" customHeight="1" s="35">
      <c r="A6" s="309" t="n"/>
      <c r="B6" s="206" t="inlineStr">
        <is>
          <t>Date</t>
        </is>
      </c>
      <c r="C6" s="322" t="inlineStr">
        <is>
          <t>Machine</t>
        </is>
      </c>
      <c r="D6" s="212" t="inlineStr">
        <is>
          <t>Pile name</t>
        </is>
      </c>
      <c r="E6" s="214" t="inlineStr">
        <is>
          <t>Location</t>
        </is>
      </c>
      <c r="F6" s="216" t="inlineStr">
        <is>
          <t>Pile type</t>
        </is>
      </c>
      <c r="G6" s="323" t="n"/>
      <c r="H6" s="324" t="n"/>
      <c r="I6" s="324" t="n"/>
      <c r="J6" s="324" t="n"/>
      <c r="K6" s="325" t="n"/>
      <c r="L6" s="323" t="n"/>
      <c r="M6" s="324" t="n"/>
      <c r="N6" s="324" t="n"/>
      <c r="O6" s="324" t="n"/>
      <c r="P6" s="324" t="n"/>
      <c r="Q6" s="324" t="n"/>
      <c r="R6" s="324" t="n"/>
      <c r="S6" s="324" t="n"/>
      <c r="T6" s="325" t="n"/>
      <c r="U6" s="326" t="n"/>
      <c r="V6" s="309" t="n"/>
      <c r="W6" s="309" t="n"/>
      <c r="X6" s="309" t="n"/>
      <c r="Y6" s="309" t="n"/>
      <c r="Z6" s="309" t="n"/>
    </row>
    <row r="7" ht="37.05" customFormat="1" customHeight="1" s="35">
      <c r="A7" s="309" t="n"/>
      <c r="B7" s="309" t="n"/>
      <c r="C7" s="309" t="n"/>
      <c r="D7" s="309" t="n"/>
      <c r="E7" s="309" t="n"/>
      <c r="F7" s="327" t="n"/>
      <c r="G7" s="204" t="inlineStr">
        <is>
          <t>1st</t>
        </is>
      </c>
      <c r="H7" s="328" t="inlineStr">
        <is>
          <t>2nd</t>
        </is>
      </c>
      <c r="I7" s="204" t="inlineStr">
        <is>
          <t>3rd</t>
        </is>
      </c>
      <c r="J7" s="204" t="inlineStr">
        <is>
          <t>4th</t>
        </is>
      </c>
      <c r="K7" s="204" t="inlineStr">
        <is>
          <t>5th</t>
        </is>
      </c>
      <c r="L7" s="118" t="n">
        <v>6</v>
      </c>
      <c r="M7" s="119" t="n">
        <v>7</v>
      </c>
      <c r="N7" s="119" t="n">
        <v>8</v>
      </c>
      <c r="O7" s="119" t="n">
        <v>9</v>
      </c>
      <c r="P7" s="119" t="n">
        <v>10</v>
      </c>
      <c r="Q7" s="119" t="n">
        <v>11</v>
      </c>
      <c r="R7" s="119" t="n">
        <v>12</v>
      </c>
      <c r="S7" s="219" t="n">
        <v>13</v>
      </c>
      <c r="T7" s="219" t="n">
        <v>14</v>
      </c>
      <c r="U7" s="326" t="n"/>
      <c r="V7" s="309" t="n"/>
      <c r="W7" s="309" t="n"/>
      <c r="X7" s="309" t="n"/>
      <c r="Y7" s="309" t="n"/>
      <c r="Z7" s="309" t="n"/>
    </row>
    <row r="8" ht="25.05" customFormat="1" customHeight="1" s="86">
      <c r="A8" s="101" t="n">
        <v>1</v>
      </c>
      <c r="B8" s="209" t="n">
        <v>46047</v>
      </c>
      <c r="C8" s="329" t="inlineStr">
        <is>
          <t>JVY420</t>
        </is>
      </c>
      <c r="D8" s="103" t="inlineStr">
        <is>
          <t>TNB-03</t>
        </is>
      </c>
      <c r="E8" s="104" t="inlineStr">
        <is>
          <t>NHÀ XƯỞNG</t>
        </is>
      </c>
      <c r="F8" s="103" t="inlineStr">
        <is>
          <t>D300</t>
        </is>
      </c>
      <c r="G8" s="105" t="n">
        <v>10</v>
      </c>
      <c r="H8" s="330" t="n">
        <v>10</v>
      </c>
      <c r="I8" s="105" t="n">
        <v>10</v>
      </c>
      <c r="J8" s="105" t="n"/>
      <c r="K8" s="105" t="n"/>
      <c r="L8" s="120">
        <f>IF(G8=$L$7,1,0)+IF(H8=$L$7,1,0)+IF(I8=$L$7,1,0)+IF(J8=$L$7,1,0)+IF(K8=$L$7,1,0)</f>
        <v/>
      </c>
      <c r="M8" s="120">
        <f>IF(G8=$M$7,1,0)+IF(H8=$M$7,1,0)+IF(I8=$M$7,1,0)+IF(J8=$M$7,1,0)+IF(K8=$M$7,1,0)</f>
        <v/>
      </c>
      <c r="N8" s="120">
        <f>IF(G8=$N$7,1,0)+IF(H8=$N$7,1,0)+IF(I8=$N$7,1,0)+IF(J8=$N$7,1,0)+IF(K8=$N$7,1,0)</f>
        <v/>
      </c>
      <c r="O8" s="120">
        <f>IF(G8=$O$7,1,0)+IF(H8=$O$7,1,0)+IF(I8=$O$7,1,0)+IF(J8=$O$7,1,0)+IF(K8=$O$7,1,0)</f>
        <v/>
      </c>
      <c r="P8" s="120">
        <f>IF(G8=$P$7,1,0)+IF(H8=$P$7,1,0)+IF(I8=$P$7,1,0)+IF(J8=$P$7,1,0)+IF(K8=$P$7,1,0)</f>
        <v/>
      </c>
      <c r="Q8" s="120">
        <f>IF(G8=$Q$7,1,0)+IF(H8=$Q$7,1,0)+IF(I8=$Q$7,1,0)+IF(J8=$Q$7,1,0)+IF(K8=$Q$7,1,0)</f>
        <v/>
      </c>
      <c r="R8" s="120">
        <f>IF(G8=$R$7,1,0)+IF(H8=$R$7,1,0)+IF(I8=$R$7,1,0)+IF(J8=$R$7,1,0)+IF(K8=$R$7,1,0)</f>
        <v/>
      </c>
      <c r="S8" s="120">
        <f>IF(G8=$S$7,1,0)+IF(H8=$S$7,1,0)+IF(I8=$S$7,1,0)+IF(J8=$S$7,1,0)+IF(K8=$S$7,1,0)</f>
        <v/>
      </c>
      <c r="T8" s="331">
        <f>IF(G8=$T$7,1,0)+IF(H8=$T$7,1,0)+IF(I8=$T$7,1,0)+IF(J8=$T$7,1,0)+IF(K8=$T$7,1,0)</f>
        <v/>
      </c>
      <c r="U8" s="331">
        <f>SUM(G8:K8)</f>
        <v/>
      </c>
      <c r="V8" s="332" t="n">
        <v>23.8</v>
      </c>
      <c r="W8" s="333">
        <f>IF(U8-V8&gt;0.1,1,0)</f>
        <v/>
      </c>
      <c r="X8" s="333">
        <f>U8-V8</f>
        <v/>
      </c>
      <c r="Y8" s="334" t="n">
        <v>150</v>
      </c>
      <c r="Z8" s="334" t="inlineStr">
        <is>
          <t>THÍ NGHIỆM</t>
        </is>
      </c>
    </row>
    <row r="9" ht="25.05" customFormat="1" customHeight="1" s="86">
      <c r="A9" s="101" t="n">
        <v>2</v>
      </c>
      <c r="B9" s="335" t="n"/>
      <c r="C9" s="329" t="inlineStr">
        <is>
          <t>JVY420</t>
        </is>
      </c>
      <c r="D9" s="103" t="inlineStr">
        <is>
          <t>TNB-01</t>
        </is>
      </c>
      <c r="E9" s="104" t="inlineStr">
        <is>
          <t>NHÀ XƯỞNG</t>
        </is>
      </c>
      <c r="F9" s="103" t="inlineStr">
        <is>
          <t>D300</t>
        </is>
      </c>
      <c r="G9" s="105" t="n">
        <v>13</v>
      </c>
      <c r="H9" s="330" t="n">
        <v>13</v>
      </c>
      <c r="I9" s="105" t="n"/>
      <c r="J9" s="105" t="n"/>
      <c r="K9" s="105" t="n"/>
      <c r="L9" s="120">
        <f>IF(G9=$L$7,1,0)+IF(H9=$L$7,1,0)+IF(I9=$L$7,1,0)+IF(J9=$L$7,1,0)+IF(K9=$L$7,1,0)</f>
        <v/>
      </c>
      <c r="M9" s="120">
        <f>IF(G9=$M$7,1,0)+IF(H9=$M$7,1,0)+IF(I9=$M$7,1,0)+IF(J9=$M$7,1,0)+IF(K9=$M$7,1,0)</f>
        <v/>
      </c>
      <c r="N9" s="120">
        <f>IF(G9=$N$7,1,0)+IF(H9=$N$7,1,0)+IF(I9=$N$7,1,0)+IF(J9=$N$7,1,0)+IF(K9=$N$7,1,0)</f>
        <v/>
      </c>
      <c r="O9" s="120">
        <f>IF(G9=$O$7,1,0)+IF(H9=$O$7,1,0)+IF(I9=$O$7,1,0)+IF(J9=$O$7,1,0)+IF(K9=$O$7,1,0)</f>
        <v/>
      </c>
      <c r="P9" s="120">
        <f>IF(G9=$P$7,1,0)+IF(H9=$P$7,1,0)+IF(I9=$P$7,1,0)+IF(J9=$P$7,1,0)+IF(K9=$P$7,1,0)</f>
        <v/>
      </c>
      <c r="Q9" s="120">
        <f>IF(G9=$Q$7,1,0)+IF(H9=$Q$7,1,0)+IF(I9=$Q$7,1,0)+IF(J9=$Q$7,1,0)+IF(K9=$Q$7,1,0)</f>
        <v/>
      </c>
      <c r="R9" s="120">
        <f>IF(G9=$R$7,1,0)+IF(H9=$R$7,1,0)+IF(I9=$R$7,1,0)+IF(J9=$R$7,1,0)+IF(K9=$R$7,1,0)</f>
        <v/>
      </c>
      <c r="S9" s="120">
        <f>IF(G9=$S$7,1,0)+IF(H9=$S$7,1,0)+IF(I9=$S$7,1,0)+IF(J9=$S$7,1,0)+IF(K9=$S$7,1,0)</f>
        <v/>
      </c>
      <c r="T9" s="331">
        <f>IF(G9=$T$7,1,0)+IF(H9=$T$7,1,0)+IF(I9=$T$7,1,0)+IF(J9=$T$7,1,0)+IF(K9=$T$7,1,0)</f>
        <v/>
      </c>
      <c r="U9" s="331">
        <f>SUM(G9:K9)</f>
        <v/>
      </c>
      <c r="V9" s="332" t="n">
        <v>25</v>
      </c>
      <c r="W9" s="333">
        <f>IF(U9-V9&gt;0.1,1,0)</f>
        <v/>
      </c>
      <c r="X9" s="333">
        <f>U9-V9</f>
        <v/>
      </c>
      <c r="Y9" s="334" t="n">
        <v>150</v>
      </c>
      <c r="Z9" s="334" t="inlineStr">
        <is>
          <t>THÍ NGHIỆM</t>
        </is>
      </c>
    </row>
    <row r="10" ht="25.05" customFormat="1" customHeight="1" s="86">
      <c r="A10" s="101" t="n">
        <v>3</v>
      </c>
      <c r="B10" s="209" t="n">
        <v>46048</v>
      </c>
      <c r="C10" s="329" t="inlineStr">
        <is>
          <t>JVY420</t>
        </is>
      </c>
      <c r="D10" s="103" t="inlineStr">
        <is>
          <t>TNB-02</t>
        </is>
      </c>
      <c r="E10" s="104" t="inlineStr">
        <is>
          <t>NHÀ XƯỞNG</t>
        </is>
      </c>
      <c r="F10" s="103" t="inlineStr">
        <is>
          <t>D300</t>
        </is>
      </c>
      <c r="G10" s="105" t="n">
        <v>10</v>
      </c>
      <c r="H10" s="330" t="n">
        <v>10</v>
      </c>
      <c r="I10" s="105" t="n">
        <v>10</v>
      </c>
      <c r="J10" s="105" t="n"/>
      <c r="K10" s="105" t="n"/>
      <c r="L10" s="120">
        <f>IF(G10=$L$7,1,0)+IF(H10=$L$7,1,0)+IF(I10=$L$7,1,0)+IF(J10=$L$7,1,0)+IF(K10=$L$7,1,0)</f>
        <v/>
      </c>
      <c r="M10" s="120">
        <f>IF(G10=$M$7,1,0)+IF(H10=$M$7,1,0)+IF(I10=$M$7,1,0)+IF(J10=$M$7,1,0)+IF(K10=$M$7,1,0)</f>
        <v/>
      </c>
      <c r="N10" s="120">
        <f>IF(G10=$N$7,1,0)+IF(H10=$N$7,1,0)+IF(I10=$N$7,1,0)+IF(J10=$N$7,1,0)+IF(K10=$N$7,1,0)</f>
        <v/>
      </c>
      <c r="O10" s="120">
        <f>IF(G10=$O$7,1,0)+IF(H10=$O$7,1,0)+IF(I10=$O$7,1,0)+IF(J10=$O$7,1,0)+IF(K10=$O$7,1,0)</f>
        <v/>
      </c>
      <c r="P10" s="120">
        <f>IF(G10=$P$7,1,0)+IF(H10=$P$7,1,0)+IF(I10=$P$7,1,0)+IF(J10=$P$7,1,0)+IF(K10=$P$7,1,0)</f>
        <v/>
      </c>
      <c r="Q10" s="120">
        <f>IF(G10=$Q$7,1,0)+IF(H10=$Q$7,1,0)+IF(I10=$Q$7,1,0)+IF(J10=$Q$7,1,0)+IF(K10=$Q$7,1,0)</f>
        <v/>
      </c>
      <c r="R10" s="120">
        <f>IF(G10=$R$7,1,0)+IF(H10=$R$7,1,0)+IF(I10=$R$7,1,0)+IF(J10=$R$7,1,0)+IF(K10=$R$7,1,0)</f>
        <v/>
      </c>
      <c r="S10" s="120">
        <f>IF(G10=$S$7,1,0)+IF(H10=$S$7,1,0)+IF(I10=$S$7,1,0)+IF(J10=$S$7,1,0)+IF(K10=$S$7,1,0)</f>
        <v/>
      </c>
      <c r="T10" s="331">
        <f>IF(G10=$T$7,1,0)+IF(H10=$T$7,1,0)+IF(I10=$T$7,1,0)+IF(J10=$T$7,1,0)+IF(K10=$T$7,1,0)</f>
        <v/>
      </c>
      <c r="U10" s="331">
        <f>SUM(G10:K10)</f>
        <v/>
      </c>
      <c r="V10" s="332" t="n">
        <v>23.5</v>
      </c>
      <c r="W10" s="333">
        <f>IF(U10-V10&gt;0.1,1,0)</f>
        <v/>
      </c>
      <c r="X10" s="333">
        <f>U10-V10</f>
        <v/>
      </c>
      <c r="Y10" s="334" t="n">
        <v>150</v>
      </c>
      <c r="Z10" s="334" t="inlineStr">
        <is>
          <t>THÍ NGHIỆM</t>
        </is>
      </c>
    </row>
    <row r="11" ht="25.05" customFormat="1" customHeight="1" s="86">
      <c r="A11" s="101" t="n">
        <v>4</v>
      </c>
      <c r="B11" s="335" t="n"/>
      <c r="C11" s="329" t="inlineStr">
        <is>
          <t>JVY420</t>
        </is>
      </c>
      <c r="D11" s="103" t="inlineStr">
        <is>
          <t>TNB-04</t>
        </is>
      </c>
      <c r="E11" s="104" t="inlineStr">
        <is>
          <t>NHÀ XƯỞNG</t>
        </is>
      </c>
      <c r="F11" s="103" t="inlineStr">
        <is>
          <t>D300</t>
        </is>
      </c>
      <c r="G11" s="105" t="n">
        <v>13</v>
      </c>
      <c r="H11" s="330" t="n">
        <v>13</v>
      </c>
      <c r="I11" s="105" t="n"/>
      <c r="J11" s="105" t="n"/>
      <c r="K11" s="105" t="n"/>
      <c r="L11" s="120">
        <f>IF(G11=$L$7,1,0)+IF(H11=$L$7,1,0)+IF(I11=$L$7,1,0)+IF(J11=$L$7,1,0)+IF(K11=$L$7,1,0)</f>
        <v/>
      </c>
      <c r="M11" s="120">
        <f>IF(G11=$M$7,1,0)+IF(H11=$M$7,1,0)+IF(I11=$M$7,1,0)+IF(J11=$M$7,1,0)+IF(K11=$M$7,1,0)</f>
        <v/>
      </c>
      <c r="N11" s="120">
        <f>IF(G11=$N$7,1,0)+IF(H11=$N$7,1,0)+IF(I11=$N$7,1,0)+IF(J11=$N$7,1,0)+IF(K11=$N$7,1,0)</f>
        <v/>
      </c>
      <c r="O11" s="120">
        <f>IF(G11=$O$7,1,0)+IF(H11=$O$7,1,0)+IF(I11=$O$7,1,0)+IF(J11=$O$7,1,0)+IF(K11=$O$7,1,0)</f>
        <v/>
      </c>
      <c r="P11" s="120">
        <f>IF(G11=$P$7,1,0)+IF(H11=$P$7,1,0)+IF(I11=$P$7,1,0)+IF(J11=$P$7,1,0)+IF(K11=$P$7,1,0)</f>
        <v/>
      </c>
      <c r="Q11" s="120">
        <f>IF(G11=$Q$7,1,0)+IF(H11=$Q$7,1,0)+IF(I11=$Q$7,1,0)+IF(J11=$Q$7,1,0)+IF(K11=$Q$7,1,0)</f>
        <v/>
      </c>
      <c r="R11" s="120">
        <f>IF(G11=$R$7,1,0)+IF(H11=$R$7,1,0)+IF(I11=$R$7,1,0)+IF(J11=$R$7,1,0)+IF(K11=$R$7,1,0)</f>
        <v/>
      </c>
      <c r="S11" s="120">
        <f>IF(G11=$S$7,1,0)+IF(H11=$S$7,1,0)+IF(I11=$S$7,1,0)+IF(J11=$S$7,1,0)+IF(K11=$S$7,1,0)</f>
        <v/>
      </c>
      <c r="T11" s="331">
        <f>IF(G11=$T$7,1,0)+IF(H11=$T$7,1,0)+IF(I11=$T$7,1,0)+IF(J11=$T$7,1,0)+IF(K11=$T$7,1,0)</f>
        <v/>
      </c>
      <c r="U11" s="331">
        <f>SUM(G11:K11)</f>
        <v/>
      </c>
      <c r="V11" s="332" t="n">
        <v>22.2</v>
      </c>
      <c r="W11" s="333">
        <f>IF(U11-V11&gt;0.1,1,0)</f>
        <v/>
      </c>
      <c r="X11" s="333">
        <f>U11-V11</f>
        <v/>
      </c>
      <c r="Y11" s="334" t="n">
        <v>150</v>
      </c>
      <c r="Z11" s="334" t="inlineStr">
        <is>
          <t>THÍ NGHIỆM</t>
        </is>
      </c>
    </row>
    <row r="12" ht="25.05" customFormat="1" customHeight="1" s="86">
      <c r="A12" s="101" t="n">
        <v>5</v>
      </c>
      <c r="B12" s="209" t="n">
        <v>46049</v>
      </c>
      <c r="C12" s="329" t="inlineStr">
        <is>
          <t>JVY420</t>
        </is>
      </c>
      <c r="D12" s="103" t="inlineStr">
        <is>
          <t>TNB-05</t>
        </is>
      </c>
      <c r="E12" s="104" t="inlineStr">
        <is>
          <t>NHÀ XƯỞNG</t>
        </is>
      </c>
      <c r="F12" s="103" t="inlineStr">
        <is>
          <t>D300</t>
        </is>
      </c>
      <c r="G12" s="105" t="n">
        <v>13</v>
      </c>
      <c r="H12" s="330" t="n">
        <v>13</v>
      </c>
      <c r="I12" s="105" t="n"/>
      <c r="J12" s="105" t="n"/>
      <c r="K12" s="105" t="n"/>
      <c r="L12" s="120">
        <f>IF(G12=$L$7,1,0)+IF(H12=$L$7,1,0)+IF(I12=$L$7,1,0)+IF(J12=$L$7,1,0)+IF(K12=$L$7,1,0)</f>
        <v/>
      </c>
      <c r="M12" s="120">
        <f>IF(G12=$M$7,1,0)+IF(H12=$M$7,1,0)+IF(I12=$M$7,1,0)+IF(J12=$M$7,1,0)+IF(K12=$M$7,1,0)</f>
        <v/>
      </c>
      <c r="N12" s="120">
        <f>IF(G12=$N$7,1,0)+IF(H12=$N$7,1,0)+IF(I12=$N$7,1,0)+IF(J12=$N$7,1,0)+IF(K12=$N$7,1,0)</f>
        <v/>
      </c>
      <c r="O12" s="120">
        <f>IF(G12=$O$7,1,0)+IF(H12=$O$7,1,0)+IF(I12=$O$7,1,0)+IF(J12=$O$7,1,0)+IF(K12=$O$7,1,0)</f>
        <v/>
      </c>
      <c r="P12" s="120">
        <f>IF(G12=$P$7,1,0)+IF(H12=$P$7,1,0)+IF(I12=$P$7,1,0)+IF(J12=$P$7,1,0)+IF(K12=$P$7,1,0)</f>
        <v/>
      </c>
      <c r="Q12" s="120">
        <f>IF(G12=$Q$7,1,0)+IF(H12=$Q$7,1,0)+IF(I12=$Q$7,1,0)+IF(J12=$Q$7,1,0)+IF(K12=$Q$7,1,0)</f>
        <v/>
      </c>
      <c r="R12" s="120">
        <f>IF(G12=$R$7,1,0)+IF(H12=$R$7,1,0)+IF(I12=$R$7,1,0)+IF(J12=$R$7,1,0)+IF(K12=$R$7,1,0)</f>
        <v/>
      </c>
      <c r="S12" s="120">
        <f>IF(G12=$S$7,1,0)+IF(H12=$S$7,1,0)+IF(I12=$S$7,1,0)+IF(J12=$S$7,1,0)+IF(K12=$S$7,1,0)</f>
        <v/>
      </c>
      <c r="T12" s="331">
        <f>IF(G12=$T$7,1,0)+IF(H12=$T$7,1,0)+IF(I12=$T$7,1,0)+IF(J12=$T$7,1,0)+IF(K12=$T$7,1,0)</f>
        <v/>
      </c>
      <c r="U12" s="331">
        <f>SUM(G12:K12)</f>
        <v/>
      </c>
      <c r="V12" s="332" t="n">
        <v>23.3</v>
      </c>
      <c r="W12" s="333">
        <f>IF(U12-V12&gt;0.1,1,0)</f>
        <v/>
      </c>
      <c r="X12" s="333">
        <f>U12-V12</f>
        <v/>
      </c>
      <c r="Y12" s="334" t="n">
        <v>150</v>
      </c>
      <c r="Z12" s="334" t="inlineStr">
        <is>
          <t>THÍ NGHIỆM</t>
        </is>
      </c>
    </row>
    <row r="13" ht="25.05" customFormat="1" customHeight="1" s="86">
      <c r="A13" s="101" t="n">
        <v>6</v>
      </c>
      <c r="B13" s="309" t="n"/>
      <c r="C13" s="329" t="inlineStr">
        <is>
          <t>JVY420</t>
        </is>
      </c>
      <c r="D13" s="103" t="inlineStr">
        <is>
          <t>TNB-06</t>
        </is>
      </c>
      <c r="E13" s="104" t="inlineStr">
        <is>
          <t>NHÀ XƯỞNG</t>
        </is>
      </c>
      <c r="F13" s="103" t="inlineStr">
        <is>
          <t>D300</t>
        </is>
      </c>
      <c r="G13" s="105" t="n">
        <v>13</v>
      </c>
      <c r="H13" s="330" t="n">
        <v>13</v>
      </c>
      <c r="I13" s="105" t="n"/>
      <c r="J13" s="105" t="n"/>
      <c r="K13" s="105" t="n"/>
      <c r="L13" s="120">
        <f>IF(G13=$L$7,1,0)+IF(H13=$L$7,1,0)+IF(I13=$L$7,1,0)+IF(J13=$L$7,1,0)+IF(K13=$L$7,1,0)</f>
        <v/>
      </c>
      <c r="M13" s="120">
        <f>IF(G13=$M$7,1,0)+IF(H13=$M$7,1,0)+IF(I13=$M$7,1,0)+IF(J13=$M$7,1,0)+IF(K13=$M$7,1,0)</f>
        <v/>
      </c>
      <c r="N13" s="120">
        <f>IF(G13=$N$7,1,0)+IF(H13=$N$7,1,0)+IF(I13=$N$7,1,0)+IF(J13=$N$7,1,0)+IF(K13=$N$7,1,0)</f>
        <v/>
      </c>
      <c r="O13" s="120">
        <f>IF(G13=$O$7,1,0)+IF(H13=$O$7,1,0)+IF(I13=$O$7,1,0)+IF(J13=$O$7,1,0)+IF(K13=$O$7,1,0)</f>
        <v/>
      </c>
      <c r="P13" s="120">
        <f>IF(G13=$P$7,1,0)+IF(H13=$P$7,1,0)+IF(I13=$P$7,1,0)+IF(J13=$P$7,1,0)+IF(K13=$P$7,1,0)</f>
        <v/>
      </c>
      <c r="Q13" s="120">
        <f>IF(G13=$Q$7,1,0)+IF(H13=$Q$7,1,0)+IF(I13=$Q$7,1,0)+IF(J13=$Q$7,1,0)+IF(K13=$Q$7,1,0)</f>
        <v/>
      </c>
      <c r="R13" s="120">
        <f>IF(G13=$R$7,1,0)+IF(H13=$R$7,1,0)+IF(I13=$R$7,1,0)+IF(J13=$R$7,1,0)+IF(K13=$R$7,1,0)</f>
        <v/>
      </c>
      <c r="S13" s="120">
        <f>IF(G13=$S$7,1,0)+IF(H13=$S$7,1,0)+IF(I13=$S$7,1,0)+IF(J13=$S$7,1,0)+IF(K13=$S$7,1,0)</f>
        <v/>
      </c>
      <c r="T13" s="331">
        <f>IF(G13=$T$7,1,0)+IF(H13=$T$7,1,0)+IF(I13=$T$7,1,0)+IF(J13=$T$7,1,0)+IF(K13=$T$7,1,0)</f>
        <v/>
      </c>
      <c r="U13" s="331">
        <f>SUM(G13:K13)</f>
        <v/>
      </c>
      <c r="V13" s="332" t="n">
        <v>23.8</v>
      </c>
      <c r="W13" s="333">
        <f>IF(U13-V13&gt;0.1,1,0)</f>
        <v/>
      </c>
      <c r="X13" s="333">
        <f>U13-V13</f>
        <v/>
      </c>
      <c r="Y13" s="334" t="n">
        <v>150</v>
      </c>
      <c r="Z13" s="334" t="inlineStr">
        <is>
          <t>THÍ NGHIỆM</t>
        </is>
      </c>
    </row>
    <row r="14" ht="25.05" customFormat="1" customHeight="1" s="86">
      <c r="A14" s="101" t="n">
        <v>7</v>
      </c>
      <c r="B14" s="309" t="n"/>
      <c r="C14" s="329" t="inlineStr">
        <is>
          <t>JVY420</t>
        </is>
      </c>
      <c r="D14" s="103" t="inlineStr">
        <is>
          <t>TNB-07</t>
        </is>
      </c>
      <c r="E14" s="104" t="inlineStr">
        <is>
          <t>NHÀ XƯỞNG</t>
        </is>
      </c>
      <c r="F14" s="103" t="inlineStr">
        <is>
          <t>D300</t>
        </is>
      </c>
      <c r="G14" s="105" t="n">
        <v>13</v>
      </c>
      <c r="H14" s="330" t="n">
        <v>13</v>
      </c>
      <c r="I14" s="105" t="n"/>
      <c r="J14" s="105" t="n"/>
      <c r="K14" s="105" t="n"/>
      <c r="L14" s="120">
        <f>IF(G14=$L$7,1,0)+IF(H14=$L$7,1,0)+IF(I14=$L$7,1,0)+IF(J14=$L$7,1,0)+IF(K14=$L$7,1,0)</f>
        <v/>
      </c>
      <c r="M14" s="120">
        <f>IF(G14=$M$7,1,0)+IF(H14=$M$7,1,0)+IF(I14=$M$7,1,0)+IF(J14=$M$7,1,0)+IF(K14=$M$7,1,0)</f>
        <v/>
      </c>
      <c r="N14" s="120">
        <f>IF(G14=$N$7,1,0)+IF(H14=$N$7,1,0)+IF(I14=$N$7,1,0)+IF(J14=$N$7,1,0)+IF(K14=$N$7,1,0)</f>
        <v/>
      </c>
      <c r="O14" s="120">
        <f>IF(G14=$O$7,1,0)+IF(H14=$O$7,1,0)+IF(I14=$O$7,1,0)+IF(J14=$O$7,1,0)+IF(K14=$O$7,1,0)</f>
        <v/>
      </c>
      <c r="P14" s="120">
        <f>IF(G14=$P$7,1,0)+IF(H14=$P$7,1,0)+IF(I14=$P$7,1,0)+IF(J14=$P$7,1,0)+IF(K14=$P$7,1,0)</f>
        <v/>
      </c>
      <c r="Q14" s="120">
        <f>IF(G14=$Q$7,1,0)+IF(H14=$Q$7,1,0)+IF(I14=$Q$7,1,0)+IF(J14=$Q$7,1,0)+IF(K14=$Q$7,1,0)</f>
        <v/>
      </c>
      <c r="R14" s="120">
        <f>IF(G14=$R$7,1,0)+IF(H14=$R$7,1,0)+IF(I14=$R$7,1,0)+IF(J14=$R$7,1,0)+IF(K14=$R$7,1,0)</f>
        <v/>
      </c>
      <c r="S14" s="120">
        <f>IF(G14=$S$7,1,0)+IF(H14=$S$7,1,0)+IF(I14=$S$7,1,0)+IF(J14=$S$7,1,0)+IF(K14=$S$7,1,0)</f>
        <v/>
      </c>
      <c r="T14" s="331">
        <f>IF(G14=$T$7,1,0)+IF(H14=$T$7,1,0)+IF(I14=$T$7,1,0)+IF(J14=$T$7,1,0)+IF(K14=$T$7,1,0)</f>
        <v/>
      </c>
      <c r="U14" s="331">
        <f>SUM(G14:K14)</f>
        <v/>
      </c>
      <c r="V14" s="332" t="n">
        <v>17</v>
      </c>
      <c r="W14" s="333">
        <f>IF(U14-V14&gt;0.1,1,0)</f>
        <v/>
      </c>
      <c r="X14" s="333">
        <f>U14-V14</f>
        <v/>
      </c>
      <c r="Y14" s="334" t="n">
        <v>150</v>
      </c>
      <c r="Z14" s="334" t="inlineStr">
        <is>
          <t>THÍ NGHIỆM</t>
        </is>
      </c>
    </row>
    <row r="15" ht="25.05" customFormat="1" customHeight="1" s="86">
      <c r="A15" s="101" t="n">
        <v>8</v>
      </c>
      <c r="B15" s="335" t="n"/>
      <c r="C15" s="329" t="inlineStr">
        <is>
          <t>JVY420</t>
        </is>
      </c>
      <c r="D15" s="103" t="inlineStr">
        <is>
          <t>TNB-08</t>
        </is>
      </c>
      <c r="E15" s="104" t="inlineStr">
        <is>
          <t>NHÀ XƯỞNG</t>
        </is>
      </c>
      <c r="F15" s="103" t="inlineStr">
        <is>
          <t>D300</t>
        </is>
      </c>
      <c r="G15" s="105" t="n">
        <v>13</v>
      </c>
      <c r="H15" s="330" t="n">
        <v>13</v>
      </c>
      <c r="I15" s="105" t="n"/>
      <c r="J15" s="105" t="n"/>
      <c r="K15" s="105" t="n"/>
      <c r="L15" s="120">
        <f>IF(G15=$L$7,1,0)+IF(H15=$L$7,1,0)+IF(I15=$L$7,1,0)+IF(J15=$L$7,1,0)+IF(K15=$L$7,1,0)</f>
        <v/>
      </c>
      <c r="M15" s="120">
        <f>IF(G15=$M$7,1,0)+IF(H15=$M$7,1,0)+IF(I15=$M$7,1,0)+IF(J15=$M$7,1,0)+IF(K15=$M$7,1,0)</f>
        <v/>
      </c>
      <c r="N15" s="120">
        <f>IF(G15=$N$7,1,0)+IF(H15=$N$7,1,0)+IF(I15=$N$7,1,0)+IF(J15=$N$7,1,0)+IF(K15=$N$7,1,0)</f>
        <v/>
      </c>
      <c r="O15" s="120">
        <f>IF(G15=$O$7,1,0)+IF(H15=$O$7,1,0)+IF(I15=$O$7,1,0)+IF(J15=$O$7,1,0)+IF(K15=$O$7,1,0)</f>
        <v/>
      </c>
      <c r="P15" s="120">
        <f>IF(G15=$P$7,1,0)+IF(H15=$P$7,1,0)+IF(I15=$P$7,1,0)+IF(J15=$P$7,1,0)+IF(K15=$P$7,1,0)</f>
        <v/>
      </c>
      <c r="Q15" s="120">
        <f>IF(G15=$Q$7,1,0)+IF(H15=$Q$7,1,0)+IF(I15=$Q$7,1,0)+IF(J15=$Q$7,1,0)+IF(K15=$Q$7,1,0)</f>
        <v/>
      </c>
      <c r="R15" s="120">
        <f>IF(G15=$R$7,1,0)+IF(H15=$R$7,1,0)+IF(I15=$R$7,1,0)+IF(J15=$R$7,1,0)+IF(K15=$R$7,1,0)</f>
        <v/>
      </c>
      <c r="S15" s="120">
        <f>IF(G15=$S$7,1,0)+IF(H15=$S$7,1,0)+IF(I15=$S$7,1,0)+IF(J15=$S$7,1,0)+IF(K15=$S$7,1,0)</f>
        <v/>
      </c>
      <c r="T15" s="331">
        <f>IF(G15=$T$7,1,0)+IF(H15=$T$7,1,0)+IF(I15=$T$7,1,0)+IF(J15=$T$7,1,0)+IF(K15=$T$7,1,0)</f>
        <v/>
      </c>
      <c r="U15" s="331">
        <f>SUM(G15:K15)</f>
        <v/>
      </c>
      <c r="V15" s="332" t="n">
        <v>24</v>
      </c>
      <c r="W15" s="333">
        <f>IF(U15-V15&gt;0.1,1,0)</f>
        <v/>
      </c>
      <c r="X15" s="333">
        <f>U15-V15</f>
        <v/>
      </c>
      <c r="Y15" s="334" t="n">
        <v>150</v>
      </c>
      <c r="Z15" s="334" t="inlineStr">
        <is>
          <t>THÍ NGHIỆM</t>
        </is>
      </c>
    </row>
    <row r="16" ht="25.05" customFormat="1" customHeight="1" s="86">
      <c r="A16" s="101" t="n">
        <v>9</v>
      </c>
      <c r="B16" s="209" t="n">
        <v>46050</v>
      </c>
      <c r="C16" s="329" t="inlineStr">
        <is>
          <t>JVY420</t>
        </is>
      </c>
      <c r="D16" s="103" t="inlineStr">
        <is>
          <t>N01</t>
        </is>
      </c>
      <c r="E16" s="104" t="inlineStr">
        <is>
          <t>NHÀ XƯỞNG</t>
        </is>
      </c>
      <c r="F16" s="103" t="inlineStr">
        <is>
          <t>D300</t>
        </is>
      </c>
      <c r="G16" s="105" t="n">
        <v>13</v>
      </c>
      <c r="H16" s="330" t="n">
        <v>13</v>
      </c>
      <c r="I16" s="105" t="n"/>
      <c r="J16" s="105" t="n"/>
      <c r="K16" s="105" t="n"/>
      <c r="L16" s="120">
        <f>IF(G16=$L$7,1,0)+IF(H16=$L$7,1,0)+IF(I16=$L$7,1,0)+IF(J16=$L$7,1,0)+IF(K16=$L$7,1,0)</f>
        <v/>
      </c>
      <c r="M16" s="120">
        <f>IF(G16=$M$7,1,0)+IF(H16=$M$7,1,0)+IF(I16=$M$7,1,0)+IF(J16=$M$7,1,0)+IF(K16=$M$7,1,0)</f>
        <v/>
      </c>
      <c r="N16" s="120">
        <f>IF(G16=$N$7,1,0)+IF(H16=$N$7,1,0)+IF(I16=$N$7,1,0)+IF(J16=$N$7,1,0)+IF(K16=$N$7,1,0)</f>
        <v/>
      </c>
      <c r="O16" s="120">
        <f>IF(G16=$O$7,1,0)+IF(H16=$O$7,1,0)+IF(I16=$O$7,1,0)+IF(J16=$O$7,1,0)+IF(K16=$O$7,1,0)</f>
        <v/>
      </c>
      <c r="P16" s="120">
        <f>IF(G16=$P$7,1,0)+IF(H16=$P$7,1,0)+IF(I16=$P$7,1,0)+IF(J16=$P$7,1,0)+IF(K16=$P$7,1,0)</f>
        <v/>
      </c>
      <c r="Q16" s="120">
        <f>IF(G16=$Q$7,1,0)+IF(H16=$Q$7,1,0)+IF(I16=$Q$7,1,0)+IF(J16=$Q$7,1,0)+IF(K16=$Q$7,1,0)</f>
        <v/>
      </c>
      <c r="R16" s="120">
        <f>IF(G16=$R$7,1,0)+IF(H16=$R$7,1,0)+IF(I16=$R$7,1,0)+IF(J16=$R$7,1,0)+IF(K16=$R$7,1,0)</f>
        <v/>
      </c>
      <c r="S16" s="120">
        <f>IF(G16=$S$7,1,0)+IF(H16=$S$7,1,0)+IF(I16=$S$7,1,0)+IF(J16=$S$7,1,0)+IF(K16=$S$7,1,0)</f>
        <v/>
      </c>
      <c r="T16" s="331">
        <f>IF(G16=$T$7,1,0)+IF(H16=$T$7,1,0)+IF(I16=$T$7,1,0)+IF(J16=$T$7,1,0)+IF(K16=$T$7,1,0)</f>
        <v/>
      </c>
      <c r="U16" s="331">
        <f>SUM(G16:K16)</f>
        <v/>
      </c>
      <c r="V16" s="332" t="n">
        <v>23.2</v>
      </c>
      <c r="W16" s="333">
        <f>IF(U16-V16&gt;0.1,1,0)</f>
        <v/>
      </c>
      <c r="X16" s="333">
        <f>U16-V16</f>
        <v/>
      </c>
      <c r="Y16" s="334" t="n">
        <v>150</v>
      </c>
      <c r="Z16" s="334" t="inlineStr">
        <is>
          <t>THÍ NGHIỆM</t>
        </is>
      </c>
    </row>
    <row r="17" ht="25.05" customFormat="1" customHeight="1" s="86">
      <c r="A17" s="101" t="n">
        <v>10</v>
      </c>
      <c r="B17" s="335" t="n"/>
      <c r="C17" s="329" t="inlineStr">
        <is>
          <t>JVY420</t>
        </is>
      </c>
      <c r="D17" s="103" t="inlineStr">
        <is>
          <t>N02</t>
        </is>
      </c>
      <c r="E17" s="104" t="inlineStr">
        <is>
          <t>NHÀ XE</t>
        </is>
      </c>
      <c r="F17" s="103" t="inlineStr">
        <is>
          <t>D300</t>
        </is>
      </c>
      <c r="G17" s="105" t="n">
        <v>13</v>
      </c>
      <c r="H17" s="330" t="n">
        <v>13</v>
      </c>
      <c r="I17" s="105" t="n"/>
      <c r="J17" s="105" t="n"/>
      <c r="K17" s="105" t="n"/>
      <c r="L17" s="120">
        <f>IF(G17=$L$7,1,0)+IF(H17=$L$7,1,0)+IF(I17=$L$7,1,0)+IF(J17=$L$7,1,0)+IF(K17=$L$7,1,0)</f>
        <v/>
      </c>
      <c r="M17" s="120">
        <f>IF(G17=$M$7,1,0)+IF(H17=$M$7,1,0)+IF(I17=$M$7,1,0)+IF(J17=$M$7,1,0)+IF(K17=$M$7,1,0)</f>
        <v/>
      </c>
      <c r="N17" s="120">
        <f>IF(G17=$N$7,1,0)+IF(H17=$N$7,1,0)+IF(I17=$N$7,1,0)+IF(J17=$N$7,1,0)+IF(K17=$N$7,1,0)</f>
        <v/>
      </c>
      <c r="O17" s="120">
        <f>IF(G17=$O$7,1,0)+IF(H17=$O$7,1,0)+IF(I17=$O$7,1,0)+IF(J17=$O$7,1,0)+IF(K17=$O$7,1,0)</f>
        <v/>
      </c>
      <c r="P17" s="120">
        <f>IF(G17=$P$7,1,0)+IF(H17=$P$7,1,0)+IF(I17=$P$7,1,0)+IF(J17=$P$7,1,0)+IF(K17=$P$7,1,0)</f>
        <v/>
      </c>
      <c r="Q17" s="120">
        <f>IF(G17=$Q$7,1,0)+IF(H17=$Q$7,1,0)+IF(I17=$Q$7,1,0)+IF(J17=$Q$7,1,0)+IF(K17=$Q$7,1,0)</f>
        <v/>
      </c>
      <c r="R17" s="120">
        <f>IF(G17=$R$7,1,0)+IF(H17=$R$7,1,0)+IF(I17=$R$7,1,0)+IF(J17=$R$7,1,0)+IF(K17=$R$7,1,0)</f>
        <v/>
      </c>
      <c r="S17" s="120">
        <f>IF(G17=$S$7,1,0)+IF(H17=$S$7,1,0)+IF(I17=$S$7,1,0)+IF(J17=$S$7,1,0)+IF(K17=$S$7,1,0)</f>
        <v/>
      </c>
      <c r="T17" s="331">
        <f>IF(G17=$T$7,1,0)+IF(H17=$T$7,1,0)+IF(I17=$T$7,1,0)+IF(J17=$T$7,1,0)+IF(K17=$T$7,1,0)</f>
        <v/>
      </c>
      <c r="U17" s="331">
        <f>SUM(G17:K17)</f>
        <v/>
      </c>
      <c r="V17" s="332" t="n">
        <v>23.7</v>
      </c>
      <c r="W17" s="333">
        <f>IF(U17-V17&gt;0.1,1,0)</f>
        <v/>
      </c>
      <c r="X17" s="333">
        <f>U17-V17</f>
        <v/>
      </c>
      <c r="Y17" s="334" t="n">
        <v>150</v>
      </c>
      <c r="Z17" s="334" t="inlineStr">
        <is>
          <t>THÍ NGHIỆM</t>
        </is>
      </c>
    </row>
    <row r="18" ht="25.05" customFormat="1" customHeight="1" s="86">
      <c r="A18" s="101" t="n">
        <v>11</v>
      </c>
      <c r="B18" s="209" t="n">
        <v>46051</v>
      </c>
      <c r="C18" s="329" t="inlineStr">
        <is>
          <t>JVY420</t>
        </is>
      </c>
      <c r="D18" s="103" t="inlineStr">
        <is>
          <t>N03</t>
        </is>
      </c>
      <c r="E18" s="104" t="inlineStr">
        <is>
          <t>NHÀ XE</t>
        </is>
      </c>
      <c r="F18" s="103" t="inlineStr">
        <is>
          <t>D300</t>
        </is>
      </c>
      <c r="G18" s="105" t="n">
        <v>13</v>
      </c>
      <c r="H18" s="330" t="n">
        <v>13</v>
      </c>
      <c r="I18" s="105" t="n"/>
      <c r="J18" s="105" t="n"/>
      <c r="K18" s="105" t="n"/>
      <c r="L18" s="120">
        <f>IF(G18=$L$7,1,0)+IF(H18=$L$7,1,0)+IF(I18=$L$7,1,0)+IF(J18=$L$7,1,0)+IF(K18=$L$7,1,0)</f>
        <v/>
      </c>
      <c r="M18" s="120">
        <f>IF(G18=$M$7,1,0)+IF(H18=$M$7,1,0)+IF(I18=$M$7,1,0)+IF(J18=$M$7,1,0)+IF(K18=$M$7,1,0)</f>
        <v/>
      </c>
      <c r="N18" s="120">
        <f>IF(G18=$N$7,1,0)+IF(H18=$N$7,1,0)+IF(I18=$N$7,1,0)+IF(J18=$N$7,1,0)+IF(K18=$N$7,1,0)</f>
        <v/>
      </c>
      <c r="O18" s="120">
        <f>IF(G18=$O$7,1,0)+IF(H18=$O$7,1,0)+IF(I18=$O$7,1,0)+IF(J18=$O$7,1,0)+IF(K18=$O$7,1,0)</f>
        <v/>
      </c>
      <c r="P18" s="120">
        <f>IF(G18=$P$7,1,0)+IF(H18=$P$7,1,0)+IF(I18=$P$7,1,0)+IF(J18=$P$7,1,0)+IF(K18=$P$7,1,0)</f>
        <v/>
      </c>
      <c r="Q18" s="120">
        <f>IF(G18=$Q$7,1,0)+IF(H18=$Q$7,1,0)+IF(I18=$Q$7,1,0)+IF(J18=$Q$7,1,0)+IF(K18=$Q$7,1,0)</f>
        <v/>
      </c>
      <c r="R18" s="120">
        <f>IF(G18=$R$7,1,0)+IF(H18=$R$7,1,0)+IF(I18=$R$7,1,0)+IF(J18=$R$7,1,0)+IF(K18=$R$7,1,0)</f>
        <v/>
      </c>
      <c r="S18" s="120">
        <f>IF(G18=$S$7,1,0)+IF(H18=$S$7,1,0)+IF(I18=$S$7,1,0)+IF(J18=$S$7,1,0)+IF(K18=$S$7,1,0)</f>
        <v/>
      </c>
      <c r="T18" s="331">
        <f>IF(G18=$T$7,1,0)+IF(H18=$T$7,1,0)+IF(I18=$T$7,1,0)+IF(J18=$T$7,1,0)+IF(K18=$T$7,1,0)</f>
        <v/>
      </c>
      <c r="U18" s="331">
        <f>SUM(G18:K18)</f>
        <v/>
      </c>
      <c r="V18" s="332" t="n">
        <v>23.4</v>
      </c>
      <c r="W18" s="333">
        <f>IF(U18-V18&gt;0.1,1,0)</f>
        <v/>
      </c>
      <c r="X18" s="333">
        <f>U18-V18</f>
        <v/>
      </c>
      <c r="Y18" s="334" t="n">
        <v>150</v>
      </c>
      <c r="Z18" s="334" t="inlineStr">
        <is>
          <t>THÍ NGHIỆM</t>
        </is>
      </c>
    </row>
    <row r="19" ht="25.05" customFormat="1" customHeight="1" s="86">
      <c r="A19" s="101" t="n">
        <v>12</v>
      </c>
      <c r="B19" s="335" t="n"/>
      <c r="C19" s="329" t="inlineStr">
        <is>
          <t>JVY420</t>
        </is>
      </c>
      <c r="D19" s="103" t="inlineStr">
        <is>
          <t>N04</t>
        </is>
      </c>
      <c r="E19" s="104" t="inlineStr">
        <is>
          <t>NHÀ XE</t>
        </is>
      </c>
      <c r="F19" s="103" t="inlineStr">
        <is>
          <t>D300</t>
        </is>
      </c>
      <c r="G19" s="105" t="n">
        <v>10</v>
      </c>
      <c r="H19" s="330" t="n">
        <v>10</v>
      </c>
      <c r="I19" s="105" t="n">
        <v>10</v>
      </c>
      <c r="J19" s="105" t="n"/>
      <c r="K19" s="105" t="n"/>
      <c r="L19" s="120">
        <f>IF(G19=$L$7,1,0)+IF(H19=$L$7,1,0)+IF(I19=$L$7,1,0)+IF(J19=$L$7,1,0)+IF(K19=$L$7,1,0)</f>
        <v/>
      </c>
      <c r="M19" s="120">
        <f>IF(G19=$M$7,1,0)+IF(H19=$M$7,1,0)+IF(I19=$M$7,1,0)+IF(J19=$M$7,1,0)+IF(K19=$M$7,1,0)</f>
        <v/>
      </c>
      <c r="N19" s="120">
        <f>IF(G19=$N$7,1,0)+IF(H19=$N$7,1,0)+IF(I19=$N$7,1,0)+IF(J19=$N$7,1,0)+IF(K19=$N$7,1,0)</f>
        <v/>
      </c>
      <c r="O19" s="120">
        <f>IF(G19=$O$7,1,0)+IF(H19=$O$7,1,0)+IF(I19=$O$7,1,0)+IF(J19=$O$7,1,0)+IF(K19=$O$7,1,0)</f>
        <v/>
      </c>
      <c r="P19" s="120">
        <f>IF(G19=$P$7,1,0)+IF(H19=$P$7,1,0)+IF(I19=$P$7,1,0)+IF(J19=$P$7,1,0)+IF(K19=$P$7,1,0)</f>
        <v/>
      </c>
      <c r="Q19" s="120">
        <f>IF(G19=$Q$7,1,0)+IF(H19=$Q$7,1,0)+IF(I19=$Q$7,1,0)+IF(J19=$Q$7,1,0)+IF(K19=$Q$7,1,0)</f>
        <v/>
      </c>
      <c r="R19" s="120">
        <f>IF(G19=$R$7,1,0)+IF(H19=$R$7,1,0)+IF(I19=$R$7,1,0)+IF(J19=$R$7,1,0)+IF(K19=$R$7,1,0)</f>
        <v/>
      </c>
      <c r="S19" s="120">
        <f>IF(G19=$S$7,1,0)+IF(H19=$S$7,1,0)+IF(I19=$S$7,1,0)+IF(J19=$S$7,1,0)+IF(K19=$S$7,1,0)</f>
        <v/>
      </c>
      <c r="T19" s="331">
        <f>IF(G19=$T$7,1,0)+IF(H19=$T$7,1,0)+IF(I19=$T$7,1,0)+IF(J19=$T$7,1,0)+IF(K19=$T$7,1,0)</f>
        <v/>
      </c>
      <c r="U19" s="331">
        <f>SUM(G19:K19)</f>
        <v/>
      </c>
      <c r="V19" s="332" t="n">
        <v>24</v>
      </c>
      <c r="W19" s="333">
        <f>IF(U19-V19&gt;0.1,1,0)</f>
        <v/>
      </c>
      <c r="X19" s="333">
        <f>U19-V19</f>
        <v/>
      </c>
      <c r="Y19" s="334" t="n">
        <v>150</v>
      </c>
      <c r="Z19" s="334" t="inlineStr">
        <is>
          <t>THÍ NGHIỆM</t>
        </is>
      </c>
    </row>
    <row r="20" ht="25.05" customFormat="1" customHeight="1" s="86">
      <c r="A20" s="101" t="n">
        <v>1</v>
      </c>
      <c r="B20" s="209" t="n">
        <v>46081</v>
      </c>
      <c r="C20" s="329" t="inlineStr">
        <is>
          <t>JVY420</t>
        </is>
      </c>
      <c r="D20" s="103" t="inlineStr">
        <is>
          <t>L9</t>
        </is>
      </c>
      <c r="E20" s="104" t="inlineStr">
        <is>
          <t>NHÀ XƯỞNG</t>
        </is>
      </c>
      <c r="F20" s="103" t="inlineStr">
        <is>
          <t>D300</t>
        </is>
      </c>
      <c r="G20" s="105" t="n">
        <v>12</v>
      </c>
      <c r="H20" s="330" t="n">
        <v>12</v>
      </c>
      <c r="I20" s="105" t="n"/>
      <c r="J20" s="105" t="n"/>
      <c r="K20" s="105" t="n"/>
      <c r="L20" s="120">
        <f>IF(G20=$L$7,1,0)+IF(H20=$L$7,1,0)+IF(I20=$L$7,1,0)+IF(J20=$L$7,1,0)+IF(K20=$L$7,1,0)</f>
        <v/>
      </c>
      <c r="M20" s="120">
        <f>IF(G20=$M$7,1,0)+IF(H20=$M$7,1,0)+IF(I20=$M$7,1,0)+IF(J20=$M$7,1,0)+IF(K20=$M$7,1,0)</f>
        <v/>
      </c>
      <c r="N20" s="120">
        <f>IF(G20=$N$7,1,0)+IF(H20=$N$7,1,0)+IF(I20=$N$7,1,0)+IF(J20=$N$7,1,0)+IF(K20=$N$7,1,0)</f>
        <v/>
      </c>
      <c r="O20" s="120">
        <f>IF(G20=$O$7,1,0)+IF(H20=$O$7,1,0)+IF(I20=$O$7,1,0)+IF(J20=$O$7,1,0)+IF(K20=$O$7,1,0)</f>
        <v/>
      </c>
      <c r="P20" s="120">
        <f>IF(G20=$P$7,1,0)+IF(H20=$P$7,1,0)+IF(I20=$P$7,1,0)+IF(J20=$P$7,1,0)+IF(K20=$P$7,1,0)</f>
        <v/>
      </c>
      <c r="Q20" s="120">
        <f>IF(G20=$Q$7,1,0)+IF(H20=$Q$7,1,0)+IF(I20=$Q$7,1,0)+IF(J20=$Q$7,1,0)+IF(K20=$Q$7,1,0)</f>
        <v/>
      </c>
      <c r="R20" s="120">
        <f>IF(G20=$R$7,1,0)+IF(H20=$R$7,1,0)+IF(I20=$R$7,1,0)+IF(J20=$R$7,1,0)+IF(K20=$R$7,1,0)</f>
        <v/>
      </c>
      <c r="S20" s="120">
        <f>IF(G20=$S$7,1,0)+IF(H20=$S$7,1,0)+IF(I20=$S$7,1,0)+IF(J20=$S$7,1,0)+IF(K20=$S$7,1,0)</f>
        <v/>
      </c>
      <c r="T20" s="331">
        <f>IF(G20=$T$7,1,0)+IF(H20=$T$7,1,0)+IF(I20=$T$7,1,0)+IF(J20=$T$7,1,0)+IF(K20=$T$7,1,0)</f>
        <v/>
      </c>
      <c r="U20" s="331">
        <f>SUM(G20:K20)</f>
        <v/>
      </c>
      <c r="V20" s="332" t="n">
        <v>24</v>
      </c>
      <c r="W20" s="333">
        <f>IF(U20-V20&gt;0.1,1,0)</f>
        <v/>
      </c>
      <c r="X20" s="333">
        <f>U20-V20</f>
        <v/>
      </c>
      <c r="Y20" s="334" t="n">
        <v>140</v>
      </c>
      <c r="Z20" s="334" t="n"/>
    </row>
    <row r="21" ht="25.05" customFormat="1" customHeight="1" s="86">
      <c r="A21" s="101" t="n">
        <v>2</v>
      </c>
      <c r="B21" s="309" t="n"/>
      <c r="C21" s="329" t="inlineStr">
        <is>
          <t>JVY420</t>
        </is>
      </c>
      <c r="D21" s="103" t="inlineStr">
        <is>
          <t>L13</t>
        </is>
      </c>
      <c r="E21" s="104" t="inlineStr">
        <is>
          <t>NHÀ XƯỞNG</t>
        </is>
      </c>
      <c r="F21" s="103" t="inlineStr">
        <is>
          <t>D300</t>
        </is>
      </c>
      <c r="G21" s="105" t="n">
        <v>12</v>
      </c>
      <c r="H21" s="330" t="n">
        <v>12</v>
      </c>
      <c r="I21" s="105" t="n"/>
      <c r="J21" s="105" t="n"/>
      <c r="K21" s="105" t="n"/>
      <c r="L21" s="120">
        <f>IF(G21=$L$7,1,0)+IF(H21=$L$7,1,0)+IF(I21=$L$7,1,0)+IF(J21=$L$7,1,0)+IF(K21=$L$7,1,0)</f>
        <v/>
      </c>
      <c r="M21" s="120">
        <f>IF(G21=$M$7,1,0)+IF(H21=$M$7,1,0)+IF(I21=$M$7,1,0)+IF(J21=$M$7,1,0)+IF(K21=$M$7,1,0)</f>
        <v/>
      </c>
      <c r="N21" s="120">
        <f>IF(G21=$N$7,1,0)+IF(H21=$N$7,1,0)+IF(I21=$N$7,1,0)+IF(J21=$N$7,1,0)+IF(K21=$N$7,1,0)</f>
        <v/>
      </c>
      <c r="O21" s="120">
        <f>IF(G21=$O$7,1,0)+IF(H21=$O$7,1,0)+IF(I21=$O$7,1,0)+IF(J21=$O$7,1,0)+IF(K21=$O$7,1,0)</f>
        <v/>
      </c>
      <c r="P21" s="120">
        <f>IF(G21=$P$7,1,0)+IF(H21=$P$7,1,0)+IF(I21=$P$7,1,0)+IF(J21=$P$7,1,0)+IF(K21=$P$7,1,0)</f>
        <v/>
      </c>
      <c r="Q21" s="120">
        <f>IF(G21=$Q$7,1,0)+IF(H21=$Q$7,1,0)+IF(I21=$Q$7,1,0)+IF(J21=$Q$7,1,0)+IF(K21=$Q$7,1,0)</f>
        <v/>
      </c>
      <c r="R21" s="120">
        <f>IF(G21=$R$7,1,0)+IF(H21=$R$7,1,0)+IF(I21=$R$7,1,0)+IF(J21=$R$7,1,0)+IF(K21=$R$7,1,0)</f>
        <v/>
      </c>
      <c r="S21" s="120">
        <f>IF(G21=$S$7,1,0)+IF(H21=$S$7,1,0)+IF(I21=$S$7,1,0)+IF(J21=$S$7,1,0)+IF(K21=$S$7,1,0)</f>
        <v/>
      </c>
      <c r="T21" s="331">
        <f>IF(G21=$T$7,1,0)+IF(H21=$T$7,1,0)+IF(I21=$T$7,1,0)+IF(J21=$T$7,1,0)+IF(K21=$T$7,1,0)</f>
        <v/>
      </c>
      <c r="U21" s="331">
        <f>SUM(G21:K21)</f>
        <v/>
      </c>
      <c r="V21" s="332" t="n">
        <v>20</v>
      </c>
      <c r="W21" s="333">
        <f>IF(U21-V21&gt;0.1,1,0)</f>
        <v/>
      </c>
      <c r="X21" s="333">
        <f>U21-V21</f>
        <v/>
      </c>
      <c r="Y21" s="334" t="n">
        <v>90</v>
      </c>
      <c r="Z21" s="334" t="n"/>
    </row>
    <row r="22" ht="25.05" customFormat="1" customHeight="1" s="86">
      <c r="A22" s="101" t="n">
        <v>3</v>
      </c>
      <c r="B22" s="309" t="n"/>
      <c r="C22" s="329" t="inlineStr">
        <is>
          <t>JVY420</t>
        </is>
      </c>
      <c r="D22" s="103" t="inlineStr">
        <is>
          <t>L13A</t>
        </is>
      </c>
      <c r="E22" s="104" t="inlineStr">
        <is>
          <t>NHÀ XƯỞNG</t>
        </is>
      </c>
      <c r="F22" s="103" t="inlineStr">
        <is>
          <t>D300</t>
        </is>
      </c>
      <c r="G22" s="105" t="n">
        <v>12</v>
      </c>
      <c r="H22" s="330" t="n">
        <v>12</v>
      </c>
      <c r="I22" s="105" t="n"/>
      <c r="J22" s="105" t="n"/>
      <c r="K22" s="105" t="n"/>
      <c r="L22" s="120">
        <f>IF(G22=$L$7,1,0)+IF(H22=$L$7,1,0)+IF(I22=$L$7,1,0)+IF(J22=$L$7,1,0)+IF(K22=$L$7,1,0)</f>
        <v/>
      </c>
      <c r="M22" s="120">
        <f>IF(G22=$M$7,1,0)+IF(H22=$M$7,1,0)+IF(I22=$M$7,1,0)+IF(J22=$M$7,1,0)+IF(K22=$M$7,1,0)</f>
        <v/>
      </c>
      <c r="N22" s="120">
        <f>IF(G22=$N$7,1,0)+IF(H22=$N$7,1,0)+IF(I22=$N$7,1,0)+IF(J22=$N$7,1,0)+IF(K22=$N$7,1,0)</f>
        <v/>
      </c>
      <c r="O22" s="120">
        <f>IF(G22=$O$7,1,0)+IF(H22=$O$7,1,0)+IF(I22=$O$7,1,0)+IF(J22=$O$7,1,0)+IF(K22=$O$7,1,0)</f>
        <v/>
      </c>
      <c r="P22" s="120">
        <f>IF(G22=$P$7,1,0)+IF(H22=$P$7,1,0)+IF(I22=$P$7,1,0)+IF(J22=$P$7,1,0)+IF(K22=$P$7,1,0)</f>
        <v/>
      </c>
      <c r="Q22" s="120">
        <f>IF(G22=$Q$7,1,0)+IF(H22=$Q$7,1,0)+IF(I22=$Q$7,1,0)+IF(J22=$Q$7,1,0)+IF(K22=$Q$7,1,0)</f>
        <v/>
      </c>
      <c r="R22" s="120">
        <f>IF(G22=$R$7,1,0)+IF(H22=$R$7,1,0)+IF(I22=$R$7,1,0)+IF(J22=$R$7,1,0)+IF(K22=$R$7,1,0)</f>
        <v/>
      </c>
      <c r="S22" s="120">
        <f>IF(G22=$S$7,1,0)+IF(H22=$S$7,1,0)+IF(I22=$S$7,1,0)+IF(J22=$S$7,1,0)+IF(K22=$S$7,1,0)</f>
        <v/>
      </c>
      <c r="T22" s="331">
        <f>IF(G22=$T$7,1,0)+IF(H22=$T$7,1,0)+IF(I22=$T$7,1,0)+IF(J22=$T$7,1,0)+IF(K22=$T$7,1,0)</f>
        <v/>
      </c>
      <c r="U22" s="331">
        <f>SUM(G22:K22)</f>
        <v/>
      </c>
      <c r="V22" s="332" t="n">
        <v>24</v>
      </c>
      <c r="W22" s="333">
        <f>IF(U22-V22&gt;0.1,1,0)</f>
        <v/>
      </c>
      <c r="X22" s="333">
        <f>U22-V22</f>
        <v/>
      </c>
      <c r="Y22" s="334" t="n">
        <v>140</v>
      </c>
      <c r="Z22" s="334" t="n"/>
    </row>
    <row r="23" ht="25.05" customFormat="1" customHeight="1" s="86">
      <c r="A23" s="101" t="n">
        <v>4</v>
      </c>
      <c r="B23" s="309" t="n"/>
      <c r="C23" s="329" t="inlineStr">
        <is>
          <t>JVY420</t>
        </is>
      </c>
      <c r="D23" s="103" t="inlineStr">
        <is>
          <t>L17</t>
        </is>
      </c>
      <c r="E23" s="104" t="inlineStr">
        <is>
          <t>NHÀ XƯỞNG</t>
        </is>
      </c>
      <c r="F23" s="103" t="inlineStr">
        <is>
          <t>D300</t>
        </is>
      </c>
      <c r="G23" s="105" t="n">
        <v>12</v>
      </c>
      <c r="H23" s="330" t="n">
        <v>12</v>
      </c>
      <c r="I23" s="105" t="n"/>
      <c r="J23" s="105" t="n"/>
      <c r="K23" s="105" t="n"/>
      <c r="L23" s="120">
        <f>IF(G23=$L$7,1,0)+IF(H23=$L$7,1,0)+IF(I23=$L$7,1,0)+IF(J23=$L$7,1,0)+IF(K23=$L$7,1,0)</f>
        <v/>
      </c>
      <c r="M23" s="120">
        <f>IF(G23=$M$7,1,0)+IF(H23=$M$7,1,0)+IF(I23=$M$7,1,0)+IF(J23=$M$7,1,0)+IF(K23=$M$7,1,0)</f>
        <v/>
      </c>
      <c r="N23" s="120">
        <f>IF(G23=$N$7,1,0)+IF(H23=$N$7,1,0)+IF(I23=$N$7,1,0)+IF(J23=$N$7,1,0)+IF(K23=$N$7,1,0)</f>
        <v/>
      </c>
      <c r="O23" s="120">
        <f>IF(G23=$O$7,1,0)+IF(H23=$O$7,1,0)+IF(I23=$O$7,1,0)+IF(J23=$O$7,1,0)+IF(K23=$O$7,1,0)</f>
        <v/>
      </c>
      <c r="P23" s="120">
        <f>IF(G23=$P$7,1,0)+IF(H23=$P$7,1,0)+IF(I23=$P$7,1,0)+IF(J23=$P$7,1,0)+IF(K23=$P$7,1,0)</f>
        <v/>
      </c>
      <c r="Q23" s="120">
        <f>IF(G23=$Q$7,1,0)+IF(H23=$Q$7,1,0)+IF(I23=$Q$7,1,0)+IF(J23=$Q$7,1,0)+IF(K23=$Q$7,1,0)</f>
        <v/>
      </c>
      <c r="R23" s="120">
        <f>IF(G23=$R$7,1,0)+IF(H23=$R$7,1,0)+IF(I23=$R$7,1,0)+IF(J23=$R$7,1,0)+IF(K23=$R$7,1,0)</f>
        <v/>
      </c>
      <c r="S23" s="120">
        <f>IF(G23=$S$7,1,0)+IF(H23=$S$7,1,0)+IF(I23=$S$7,1,0)+IF(J23=$S$7,1,0)+IF(K23=$S$7,1,0)</f>
        <v/>
      </c>
      <c r="T23" s="331">
        <f>IF(G23=$T$7,1,0)+IF(H23=$T$7,1,0)+IF(I23=$T$7,1,0)+IF(J23=$T$7,1,0)+IF(K23=$T$7,1,0)</f>
        <v/>
      </c>
      <c r="U23" s="331">
        <f>SUM(G23:K23)</f>
        <v/>
      </c>
      <c r="V23" s="332" t="n">
        <v>24</v>
      </c>
      <c r="W23" s="333">
        <f>IF(U23-V23&gt;0.1,1,0)</f>
        <v/>
      </c>
      <c r="X23" s="333">
        <f>U23-V23</f>
        <v/>
      </c>
      <c r="Y23" s="334" t="n">
        <v>140</v>
      </c>
      <c r="Z23" s="334" t="n"/>
    </row>
    <row r="24" ht="25.05" customFormat="1" customHeight="1" s="86">
      <c r="A24" s="101" t="n">
        <v>5</v>
      </c>
      <c r="B24" s="309" t="n"/>
      <c r="C24" s="329" t="inlineStr">
        <is>
          <t>JVY420</t>
        </is>
      </c>
      <c r="D24" s="103" t="inlineStr">
        <is>
          <t>L21</t>
        </is>
      </c>
      <c r="E24" s="104" t="inlineStr">
        <is>
          <t>NHÀ XƯỞNG</t>
        </is>
      </c>
      <c r="F24" s="103" t="inlineStr">
        <is>
          <t>D300</t>
        </is>
      </c>
      <c r="G24" s="105" t="n">
        <v>12</v>
      </c>
      <c r="H24" s="330" t="n">
        <v>12</v>
      </c>
      <c r="I24" s="105" t="n"/>
      <c r="J24" s="105" t="n"/>
      <c r="K24" s="105" t="n"/>
      <c r="L24" s="120">
        <f>IF(G24=$L$7,1,0)+IF(H24=$L$7,1,0)+IF(I24=$L$7,1,0)+IF(J24=$L$7,1,0)+IF(K24=$L$7,1,0)</f>
        <v/>
      </c>
      <c r="M24" s="120">
        <f>IF(G24=$M$7,1,0)+IF(H24=$M$7,1,0)+IF(I24=$M$7,1,0)+IF(J24=$M$7,1,0)+IF(K24=$M$7,1,0)</f>
        <v/>
      </c>
      <c r="N24" s="120">
        <f>IF(G24=$N$7,1,0)+IF(H24=$N$7,1,0)+IF(I24=$N$7,1,0)+IF(J24=$N$7,1,0)+IF(K24=$N$7,1,0)</f>
        <v/>
      </c>
      <c r="O24" s="120">
        <f>IF(G24=$O$7,1,0)+IF(H24=$O$7,1,0)+IF(I24=$O$7,1,0)+IF(J24=$O$7,1,0)+IF(K24=$O$7,1,0)</f>
        <v/>
      </c>
      <c r="P24" s="120">
        <f>IF(G24=$P$7,1,0)+IF(H24=$P$7,1,0)+IF(I24=$P$7,1,0)+IF(J24=$P$7,1,0)+IF(K24=$P$7,1,0)</f>
        <v/>
      </c>
      <c r="Q24" s="120">
        <f>IF(G24=$Q$7,1,0)+IF(H24=$Q$7,1,0)+IF(I24=$Q$7,1,0)+IF(J24=$Q$7,1,0)+IF(K24=$Q$7,1,0)</f>
        <v/>
      </c>
      <c r="R24" s="120">
        <f>IF(G24=$R$7,1,0)+IF(H24=$R$7,1,0)+IF(I24=$R$7,1,0)+IF(J24=$R$7,1,0)+IF(K24=$R$7,1,0)</f>
        <v/>
      </c>
      <c r="S24" s="120">
        <f>IF(G24=$S$7,1,0)+IF(H24=$S$7,1,0)+IF(I24=$S$7,1,0)+IF(J24=$S$7,1,0)+IF(K24=$S$7,1,0)</f>
        <v/>
      </c>
      <c r="T24" s="331">
        <f>IF(G24=$T$7,1,0)+IF(H24=$T$7,1,0)+IF(I24=$T$7,1,0)+IF(J24=$T$7,1,0)+IF(K24=$T$7,1,0)</f>
        <v/>
      </c>
      <c r="U24" s="331">
        <f>SUM(G24:K24)</f>
        <v/>
      </c>
      <c r="V24" s="332" t="n">
        <v>24</v>
      </c>
      <c r="W24" s="333">
        <f>IF(U24-V24&gt;0.1,1,0)</f>
        <v/>
      </c>
      <c r="X24" s="333">
        <f>U24-V24</f>
        <v/>
      </c>
      <c r="Y24" s="334" t="n">
        <v>140</v>
      </c>
      <c r="Z24" s="334" t="n"/>
    </row>
    <row r="25" ht="25.05" customFormat="1" customHeight="1" s="86">
      <c r="A25" s="101" t="n">
        <v>6</v>
      </c>
      <c r="B25" s="309" t="n"/>
      <c r="C25" s="329" t="inlineStr">
        <is>
          <t>JVY420</t>
        </is>
      </c>
      <c r="D25" s="103" t="inlineStr">
        <is>
          <t>L20</t>
        </is>
      </c>
      <c r="E25" s="104" t="inlineStr">
        <is>
          <t>NHÀ XƯỞNG</t>
        </is>
      </c>
      <c r="F25" s="103" t="inlineStr">
        <is>
          <t>D300</t>
        </is>
      </c>
      <c r="G25" s="105" t="n">
        <v>12</v>
      </c>
      <c r="H25" s="330" t="n">
        <v>12</v>
      </c>
      <c r="I25" s="105" t="n"/>
      <c r="J25" s="105" t="n"/>
      <c r="K25" s="105" t="n"/>
      <c r="L25" s="120">
        <f>IF(G25=$L$7,1,0)+IF(H25=$L$7,1,0)+IF(I25=$L$7,1,0)+IF(J25=$L$7,1,0)+IF(K25=$L$7,1,0)</f>
        <v/>
      </c>
      <c r="M25" s="120">
        <f>IF(G25=$M$7,1,0)+IF(H25=$M$7,1,0)+IF(I25=$M$7,1,0)+IF(J25=$M$7,1,0)+IF(K25=$M$7,1,0)</f>
        <v/>
      </c>
      <c r="N25" s="120">
        <f>IF(G25=$N$7,1,0)+IF(H25=$N$7,1,0)+IF(I25=$N$7,1,0)+IF(J25=$N$7,1,0)+IF(K25=$N$7,1,0)</f>
        <v/>
      </c>
      <c r="O25" s="120">
        <f>IF(G25=$O$7,1,0)+IF(H25=$O$7,1,0)+IF(I25=$O$7,1,0)+IF(J25=$O$7,1,0)+IF(K25=$O$7,1,0)</f>
        <v/>
      </c>
      <c r="P25" s="120">
        <f>IF(G25=$P$7,1,0)+IF(H25=$P$7,1,0)+IF(I25=$P$7,1,0)+IF(J25=$P$7,1,0)+IF(K25=$P$7,1,0)</f>
        <v/>
      </c>
      <c r="Q25" s="120">
        <f>IF(G25=$Q$7,1,0)+IF(H25=$Q$7,1,0)+IF(I25=$Q$7,1,0)+IF(J25=$Q$7,1,0)+IF(K25=$Q$7,1,0)</f>
        <v/>
      </c>
      <c r="R25" s="120">
        <f>IF(G25=$R$7,1,0)+IF(H25=$R$7,1,0)+IF(I25=$R$7,1,0)+IF(J25=$R$7,1,0)+IF(K25=$R$7,1,0)</f>
        <v/>
      </c>
      <c r="S25" s="120">
        <f>IF(G25=$S$7,1,0)+IF(H25=$S$7,1,0)+IF(I25=$S$7,1,0)+IF(J25=$S$7,1,0)+IF(K25=$S$7,1,0)</f>
        <v/>
      </c>
      <c r="T25" s="331">
        <f>IF(G25=$T$7,1,0)+IF(H25=$T$7,1,0)+IF(I25=$T$7,1,0)+IF(J25=$T$7,1,0)+IF(K25=$T$7,1,0)</f>
        <v/>
      </c>
      <c r="U25" s="331">
        <f>SUM(G25:K25)</f>
        <v/>
      </c>
      <c r="V25" s="332" t="n">
        <v>24</v>
      </c>
      <c r="W25" s="333">
        <f>IF(U25-V25&gt;0.1,1,0)</f>
        <v/>
      </c>
      <c r="X25" s="333">
        <f>U25-V25</f>
        <v/>
      </c>
      <c r="Y25" s="334" t="n">
        <v>135</v>
      </c>
      <c r="Z25" s="334" t="n"/>
    </row>
    <row r="26" ht="25.05" customFormat="1" customHeight="1" s="86">
      <c r="A26" s="101" t="n">
        <v>7</v>
      </c>
      <c r="B26" s="309" t="n"/>
      <c r="C26" s="329" t="inlineStr">
        <is>
          <t>JVY420</t>
        </is>
      </c>
      <c r="D26" s="103" t="inlineStr">
        <is>
          <t>L22</t>
        </is>
      </c>
      <c r="E26" s="104" t="inlineStr">
        <is>
          <t>NHÀ XƯỞNG</t>
        </is>
      </c>
      <c r="F26" s="103" t="inlineStr">
        <is>
          <t>D300</t>
        </is>
      </c>
      <c r="G26" s="105" t="n">
        <v>12</v>
      </c>
      <c r="H26" s="330" t="n">
        <v>12</v>
      </c>
      <c r="I26" s="105" t="n"/>
      <c r="J26" s="105" t="n"/>
      <c r="K26" s="105" t="n"/>
      <c r="L26" s="120">
        <f>IF(G26=$L$7,1,0)+IF(H26=$L$7,1,0)+IF(I26=$L$7,1,0)+IF(J26=$L$7,1,0)+IF(K26=$L$7,1,0)</f>
        <v/>
      </c>
      <c r="M26" s="120">
        <f>IF(G26=$M$7,1,0)+IF(H26=$M$7,1,0)+IF(I26=$M$7,1,0)+IF(J26=$M$7,1,0)+IF(K26=$M$7,1,0)</f>
        <v/>
      </c>
      <c r="N26" s="120">
        <f>IF(G26=$N$7,1,0)+IF(H26=$N$7,1,0)+IF(I26=$N$7,1,0)+IF(J26=$N$7,1,0)+IF(K26=$N$7,1,0)</f>
        <v/>
      </c>
      <c r="O26" s="120">
        <f>IF(G26=$O$7,1,0)+IF(H26=$O$7,1,0)+IF(I26=$O$7,1,0)+IF(J26=$O$7,1,0)+IF(K26=$O$7,1,0)</f>
        <v/>
      </c>
      <c r="P26" s="120">
        <f>IF(G26=$P$7,1,0)+IF(H26=$P$7,1,0)+IF(I26=$P$7,1,0)+IF(J26=$P$7,1,0)+IF(K26=$P$7,1,0)</f>
        <v/>
      </c>
      <c r="Q26" s="120">
        <f>IF(G26=$Q$7,1,0)+IF(H26=$Q$7,1,0)+IF(I26=$Q$7,1,0)+IF(J26=$Q$7,1,0)+IF(K26=$Q$7,1,0)</f>
        <v/>
      </c>
      <c r="R26" s="120">
        <f>IF(G26=$R$7,1,0)+IF(H26=$R$7,1,0)+IF(I26=$R$7,1,0)+IF(J26=$R$7,1,0)+IF(K26=$R$7,1,0)</f>
        <v/>
      </c>
      <c r="S26" s="120">
        <f>IF(G26=$S$7,1,0)+IF(H26=$S$7,1,0)+IF(I26=$S$7,1,0)+IF(J26=$S$7,1,0)+IF(K26=$S$7,1,0)</f>
        <v/>
      </c>
      <c r="T26" s="331">
        <f>IF(G26=$T$7,1,0)+IF(H26=$T$7,1,0)+IF(I26=$T$7,1,0)+IF(J26=$T$7,1,0)+IF(K26=$T$7,1,0)</f>
        <v/>
      </c>
      <c r="U26" s="331">
        <f>SUM(G26:K26)</f>
        <v/>
      </c>
      <c r="V26" s="332" t="n">
        <v>24</v>
      </c>
      <c r="W26" s="333">
        <f>IF(U26-V26&gt;0.1,1,0)</f>
        <v/>
      </c>
      <c r="X26" s="333">
        <f>U26-V26</f>
        <v/>
      </c>
      <c r="Y26" s="334" t="n">
        <v>136</v>
      </c>
      <c r="Z26" s="334" t="n"/>
    </row>
    <row r="27" ht="25.05" customFormat="1" customHeight="1" s="86">
      <c r="A27" s="101" t="n">
        <v>8</v>
      </c>
      <c r="B27" s="309" t="n"/>
      <c r="C27" s="329" t="inlineStr">
        <is>
          <t>JVY420</t>
        </is>
      </c>
      <c r="D27" s="103" t="inlineStr">
        <is>
          <t>L18</t>
        </is>
      </c>
      <c r="E27" s="104" t="inlineStr">
        <is>
          <t>NHÀ XƯỞNG</t>
        </is>
      </c>
      <c r="F27" s="103" t="inlineStr">
        <is>
          <t>D300</t>
        </is>
      </c>
      <c r="G27" s="105" t="n">
        <v>12</v>
      </c>
      <c r="H27" s="330" t="n">
        <v>12</v>
      </c>
      <c r="I27" s="105" t="n"/>
      <c r="J27" s="105" t="n"/>
      <c r="K27" s="105" t="n"/>
      <c r="L27" s="120">
        <f>IF(G27=$L$7,1,0)+IF(H27=$L$7,1,0)+IF(I27=$L$7,1,0)+IF(J27=$L$7,1,0)+IF(K27=$L$7,1,0)</f>
        <v/>
      </c>
      <c r="M27" s="120">
        <f>IF(G27=$M$7,1,0)+IF(H27=$M$7,1,0)+IF(I27=$M$7,1,0)+IF(J27=$M$7,1,0)+IF(K27=$M$7,1,0)</f>
        <v/>
      </c>
      <c r="N27" s="120">
        <f>IF(G27=$N$7,1,0)+IF(H27=$N$7,1,0)+IF(I27=$N$7,1,0)+IF(J27=$N$7,1,0)+IF(K27=$N$7,1,0)</f>
        <v/>
      </c>
      <c r="O27" s="120">
        <f>IF(G27=$O$7,1,0)+IF(H27=$O$7,1,0)+IF(I27=$O$7,1,0)+IF(J27=$O$7,1,0)+IF(K27=$O$7,1,0)</f>
        <v/>
      </c>
      <c r="P27" s="120">
        <f>IF(G27=$P$7,1,0)+IF(H27=$P$7,1,0)+IF(I27=$P$7,1,0)+IF(J27=$P$7,1,0)+IF(K27=$P$7,1,0)</f>
        <v/>
      </c>
      <c r="Q27" s="120">
        <f>IF(G27=$Q$7,1,0)+IF(H27=$Q$7,1,0)+IF(I27=$Q$7,1,0)+IF(J27=$Q$7,1,0)+IF(K27=$Q$7,1,0)</f>
        <v/>
      </c>
      <c r="R27" s="120">
        <f>IF(G27=$R$7,1,0)+IF(H27=$R$7,1,0)+IF(I27=$R$7,1,0)+IF(J27=$R$7,1,0)+IF(K27=$R$7,1,0)</f>
        <v/>
      </c>
      <c r="S27" s="120">
        <f>IF(G27=$S$7,1,0)+IF(H27=$S$7,1,0)+IF(I27=$S$7,1,0)+IF(J27=$S$7,1,0)+IF(K27=$S$7,1,0)</f>
        <v/>
      </c>
      <c r="T27" s="331">
        <f>IF(G27=$T$7,1,0)+IF(H27=$T$7,1,0)+IF(I27=$T$7,1,0)+IF(J27=$T$7,1,0)+IF(K27=$T$7,1,0)</f>
        <v/>
      </c>
      <c r="U27" s="331">
        <f>SUM(G27:K27)</f>
        <v/>
      </c>
      <c r="V27" s="332" t="n">
        <v>24</v>
      </c>
      <c r="W27" s="333">
        <f>IF(U27-V27&gt;0.1,1,0)</f>
        <v/>
      </c>
      <c r="X27" s="333">
        <f>U27-V27</f>
        <v/>
      </c>
      <c r="Y27" s="334" t="n">
        <v>135</v>
      </c>
      <c r="Z27" s="334" t="n"/>
    </row>
    <row r="28" ht="25.05" customFormat="1" customHeight="1" s="86">
      <c r="A28" s="101" t="n">
        <v>9</v>
      </c>
      <c r="B28" s="309" t="n"/>
      <c r="C28" s="329" t="inlineStr">
        <is>
          <t>JVY420</t>
        </is>
      </c>
      <c r="D28" s="103" t="inlineStr">
        <is>
          <t>L16</t>
        </is>
      </c>
      <c r="E28" s="104" t="inlineStr">
        <is>
          <t>NHÀ XƯỞNG</t>
        </is>
      </c>
      <c r="F28" s="103" t="inlineStr">
        <is>
          <t>D300</t>
        </is>
      </c>
      <c r="G28" s="105" t="n">
        <v>12</v>
      </c>
      <c r="H28" s="330" t="n">
        <v>12</v>
      </c>
      <c r="I28" s="105" t="n"/>
      <c r="J28" s="105" t="n"/>
      <c r="K28" s="105" t="n"/>
      <c r="L28" s="120">
        <f>IF(G28=$L$7,1,0)+IF(H28=$L$7,1,0)+IF(I28=$L$7,1,0)+IF(J28=$L$7,1,0)+IF(K28=$L$7,1,0)</f>
        <v/>
      </c>
      <c r="M28" s="120">
        <f>IF(G28=$M$7,1,0)+IF(H28=$M$7,1,0)+IF(I28=$M$7,1,0)+IF(J28=$M$7,1,0)+IF(K28=$M$7,1,0)</f>
        <v/>
      </c>
      <c r="N28" s="120">
        <f>IF(G28=$N$7,1,0)+IF(H28=$N$7,1,0)+IF(I28=$N$7,1,0)+IF(J28=$N$7,1,0)+IF(K28=$N$7,1,0)</f>
        <v/>
      </c>
      <c r="O28" s="120">
        <f>IF(G28=$O$7,1,0)+IF(H28=$O$7,1,0)+IF(I28=$O$7,1,0)+IF(J28=$O$7,1,0)+IF(K28=$O$7,1,0)</f>
        <v/>
      </c>
      <c r="P28" s="120">
        <f>IF(G28=$P$7,1,0)+IF(H28=$P$7,1,0)+IF(I28=$P$7,1,0)+IF(J28=$P$7,1,0)+IF(K28=$P$7,1,0)</f>
        <v/>
      </c>
      <c r="Q28" s="120">
        <f>IF(G28=$Q$7,1,0)+IF(H28=$Q$7,1,0)+IF(I28=$Q$7,1,0)+IF(J28=$Q$7,1,0)+IF(K28=$Q$7,1,0)</f>
        <v/>
      </c>
      <c r="R28" s="120">
        <f>IF(G28=$R$7,1,0)+IF(H28=$R$7,1,0)+IF(I28=$R$7,1,0)+IF(J28=$R$7,1,0)+IF(K28=$R$7,1,0)</f>
        <v/>
      </c>
      <c r="S28" s="120">
        <f>IF(G28=$S$7,1,0)+IF(H28=$S$7,1,0)+IF(I28=$S$7,1,0)+IF(J28=$S$7,1,0)+IF(K28=$S$7,1,0)</f>
        <v/>
      </c>
      <c r="T28" s="331">
        <f>IF(G28=$T$7,1,0)+IF(H28=$T$7,1,0)+IF(I28=$T$7,1,0)+IF(J28=$T$7,1,0)+IF(K28=$T$7,1,0)</f>
        <v/>
      </c>
      <c r="U28" s="331">
        <f>SUM(G28:K28)</f>
        <v/>
      </c>
      <c r="V28" s="332" t="n">
        <v>24</v>
      </c>
      <c r="W28" s="333">
        <f>IF(U28-V28&gt;0.1,1,0)</f>
        <v/>
      </c>
      <c r="X28" s="333">
        <f>U28-V28</f>
        <v/>
      </c>
      <c r="Y28" s="334" t="n">
        <v>136</v>
      </c>
      <c r="Z28" s="334" t="n"/>
    </row>
    <row r="29" ht="25.05" customFormat="1" customHeight="1" s="86">
      <c r="A29" s="101" t="n">
        <v>10</v>
      </c>
      <c r="B29" s="309" t="n"/>
      <c r="C29" s="329" t="inlineStr">
        <is>
          <t>JVY420</t>
        </is>
      </c>
      <c r="D29" s="103" t="inlineStr">
        <is>
          <t>L14</t>
        </is>
      </c>
      <c r="E29" s="104" t="inlineStr">
        <is>
          <t>NHÀ XƯỞNG</t>
        </is>
      </c>
      <c r="F29" s="103" t="inlineStr">
        <is>
          <t>D300</t>
        </is>
      </c>
      <c r="G29" s="105" t="n">
        <v>12</v>
      </c>
      <c r="H29" s="330" t="n">
        <v>12</v>
      </c>
      <c r="I29" s="105" t="n"/>
      <c r="J29" s="105" t="n"/>
      <c r="K29" s="105" t="n"/>
      <c r="L29" s="120">
        <f>IF(G29=$L$7,1,0)+IF(H29=$L$7,1,0)+IF(I29=$L$7,1,0)+IF(J29=$L$7,1,0)+IF(K29=$L$7,1,0)</f>
        <v/>
      </c>
      <c r="M29" s="120">
        <f>IF(G29=$M$7,1,0)+IF(H29=$M$7,1,0)+IF(I29=$M$7,1,0)+IF(J29=$M$7,1,0)+IF(K29=$M$7,1,0)</f>
        <v/>
      </c>
      <c r="N29" s="120">
        <f>IF(G29=$N$7,1,0)+IF(H29=$N$7,1,0)+IF(I29=$N$7,1,0)+IF(J29=$N$7,1,0)+IF(K29=$N$7,1,0)</f>
        <v/>
      </c>
      <c r="O29" s="120">
        <f>IF(G29=$O$7,1,0)+IF(H29=$O$7,1,0)+IF(I29=$O$7,1,0)+IF(J29=$O$7,1,0)+IF(K29=$O$7,1,0)</f>
        <v/>
      </c>
      <c r="P29" s="120">
        <f>IF(G29=$P$7,1,0)+IF(H29=$P$7,1,0)+IF(I29=$P$7,1,0)+IF(J29=$P$7,1,0)+IF(K29=$P$7,1,0)</f>
        <v/>
      </c>
      <c r="Q29" s="120">
        <f>IF(G29=$Q$7,1,0)+IF(H29=$Q$7,1,0)+IF(I29=$Q$7,1,0)+IF(J29=$Q$7,1,0)+IF(K29=$Q$7,1,0)</f>
        <v/>
      </c>
      <c r="R29" s="120">
        <f>IF(G29=$R$7,1,0)+IF(H29=$R$7,1,0)+IF(I29=$R$7,1,0)+IF(J29=$R$7,1,0)+IF(K29=$R$7,1,0)</f>
        <v/>
      </c>
      <c r="S29" s="120">
        <f>IF(G29=$S$7,1,0)+IF(H29=$S$7,1,0)+IF(I29=$S$7,1,0)+IF(J29=$S$7,1,0)+IF(K29=$S$7,1,0)</f>
        <v/>
      </c>
      <c r="T29" s="331">
        <f>IF(G29=$T$7,1,0)+IF(H29=$T$7,1,0)+IF(I29=$T$7,1,0)+IF(J29=$T$7,1,0)+IF(K29=$T$7,1,0)</f>
        <v/>
      </c>
      <c r="U29" s="331">
        <f>SUM(G29:K29)</f>
        <v/>
      </c>
      <c r="V29" s="332" t="n">
        <v>24</v>
      </c>
      <c r="W29" s="333">
        <f>IF(U29-V29&gt;0.1,1,0)</f>
        <v/>
      </c>
      <c r="X29" s="333">
        <f>U29-V29</f>
        <v/>
      </c>
      <c r="Y29" s="334" t="n">
        <v>140</v>
      </c>
      <c r="Z29" s="334" t="n"/>
    </row>
    <row r="30" ht="25.05" customFormat="1" customHeight="1" s="86">
      <c r="A30" s="101" t="n">
        <v>11</v>
      </c>
      <c r="B30" s="335" t="n"/>
      <c r="C30" s="329" t="inlineStr">
        <is>
          <t>JVY420</t>
        </is>
      </c>
      <c r="D30" s="103" t="inlineStr">
        <is>
          <t>L12</t>
        </is>
      </c>
      <c r="E30" s="104" t="inlineStr">
        <is>
          <t>NHÀ XƯỞNG</t>
        </is>
      </c>
      <c r="F30" s="103" t="inlineStr">
        <is>
          <t>D300</t>
        </is>
      </c>
      <c r="G30" s="105" t="n">
        <v>12</v>
      </c>
      <c r="H30" s="330" t="n">
        <v>12</v>
      </c>
      <c r="I30" s="105" t="n"/>
      <c r="J30" s="105" t="n"/>
      <c r="K30" s="105" t="n"/>
      <c r="L30" s="120">
        <f>IF(G30=$L$7,1,0)+IF(H30=$L$7,1,0)+IF(I30=$L$7,1,0)+IF(J30=$L$7,1,0)+IF(K30=$L$7,1,0)</f>
        <v/>
      </c>
      <c r="M30" s="120">
        <f>IF(G30=$M$7,1,0)+IF(H30=$M$7,1,0)+IF(I30=$M$7,1,0)+IF(J30=$M$7,1,0)+IF(K30=$M$7,1,0)</f>
        <v/>
      </c>
      <c r="N30" s="120">
        <f>IF(G30=$N$7,1,0)+IF(H30=$N$7,1,0)+IF(I30=$N$7,1,0)+IF(J30=$N$7,1,0)+IF(K30=$N$7,1,0)</f>
        <v/>
      </c>
      <c r="O30" s="120">
        <f>IF(G30=$O$7,1,0)+IF(H30=$O$7,1,0)+IF(I30=$O$7,1,0)+IF(J30=$O$7,1,0)+IF(K30=$O$7,1,0)</f>
        <v/>
      </c>
      <c r="P30" s="120">
        <f>IF(G30=$P$7,1,0)+IF(H30=$P$7,1,0)+IF(I30=$P$7,1,0)+IF(J30=$P$7,1,0)+IF(K30=$P$7,1,0)</f>
        <v/>
      </c>
      <c r="Q30" s="120">
        <f>IF(G30=$Q$7,1,0)+IF(H30=$Q$7,1,0)+IF(I30=$Q$7,1,0)+IF(J30=$Q$7,1,0)+IF(K30=$Q$7,1,0)</f>
        <v/>
      </c>
      <c r="R30" s="120">
        <f>IF(G30=$R$7,1,0)+IF(H30=$R$7,1,0)+IF(I30=$R$7,1,0)+IF(J30=$R$7,1,0)+IF(K30=$R$7,1,0)</f>
        <v/>
      </c>
      <c r="S30" s="120">
        <f>IF(G30=$S$7,1,0)+IF(H30=$S$7,1,0)+IF(I30=$S$7,1,0)+IF(J30=$S$7,1,0)+IF(K30=$S$7,1,0)</f>
        <v/>
      </c>
      <c r="T30" s="331">
        <f>IF(G30=$T$7,1,0)+IF(H30=$T$7,1,0)+IF(I30=$T$7,1,0)+IF(J30=$T$7,1,0)+IF(K30=$T$7,1,0)</f>
        <v/>
      </c>
      <c r="U30" s="331">
        <f>SUM(G30:K30)</f>
        <v/>
      </c>
      <c r="V30" s="332" t="n">
        <v>24</v>
      </c>
      <c r="W30" s="333">
        <f>IF(U30-V30&gt;0.1,1,0)</f>
        <v/>
      </c>
      <c r="X30" s="333">
        <f>U30-V30</f>
        <v/>
      </c>
      <c r="Y30" s="334" t="n">
        <v>150</v>
      </c>
      <c r="Z30" s="334" t="n"/>
    </row>
    <row r="31" ht="25.05" customFormat="1" customHeight="1" s="86">
      <c r="A31" s="101" t="n">
        <v>12</v>
      </c>
      <c r="B31" s="209" t="n">
        <v>46082</v>
      </c>
      <c r="C31" s="329" t="inlineStr">
        <is>
          <t>JVY420</t>
        </is>
      </c>
      <c r="D31" s="103" t="inlineStr">
        <is>
          <t>L10</t>
        </is>
      </c>
      <c r="E31" s="104" t="inlineStr">
        <is>
          <t>NHÀ XƯỞNG</t>
        </is>
      </c>
      <c r="F31" s="103" t="inlineStr">
        <is>
          <t>D300</t>
        </is>
      </c>
      <c r="G31" s="105" t="n">
        <v>13</v>
      </c>
      <c r="H31" s="330" t="n">
        <v>12</v>
      </c>
      <c r="I31" s="105" t="n"/>
      <c r="J31" s="105" t="n"/>
      <c r="K31" s="105" t="n"/>
      <c r="L31" s="120">
        <f>IF(G31=$L$7,1,0)+IF(H31=$L$7,1,0)+IF(I31=$L$7,1,0)+IF(J31=$L$7,1,0)+IF(K31=$L$7,1,0)</f>
        <v/>
      </c>
      <c r="M31" s="120">
        <f>IF(G31=$M$7,1,0)+IF(H31=$M$7,1,0)+IF(I31=$M$7,1,0)+IF(J31=$M$7,1,0)+IF(K31=$M$7,1,0)</f>
        <v/>
      </c>
      <c r="N31" s="120">
        <f>IF(G31=$N$7,1,0)+IF(H31=$N$7,1,0)+IF(I31=$N$7,1,0)+IF(J31=$N$7,1,0)+IF(K31=$N$7,1,0)</f>
        <v/>
      </c>
      <c r="O31" s="120">
        <f>IF(G31=$O$7,1,0)+IF(H31=$O$7,1,0)+IF(I31=$O$7,1,0)+IF(J31=$O$7,1,0)+IF(K31=$O$7,1,0)</f>
        <v/>
      </c>
      <c r="P31" s="120">
        <f>IF(G31=$P$7,1,0)+IF(H31=$P$7,1,0)+IF(I31=$P$7,1,0)+IF(J31=$P$7,1,0)+IF(K31=$P$7,1,0)</f>
        <v/>
      </c>
      <c r="Q31" s="120">
        <f>IF(G31=$Q$7,1,0)+IF(H31=$Q$7,1,0)+IF(I31=$Q$7,1,0)+IF(J31=$Q$7,1,0)+IF(K31=$Q$7,1,0)</f>
        <v/>
      </c>
      <c r="R31" s="120">
        <f>IF(G31=$R$7,1,0)+IF(H31=$R$7,1,0)+IF(I31=$R$7,1,0)+IF(J31=$R$7,1,0)+IF(K31=$R$7,1,0)</f>
        <v/>
      </c>
      <c r="S31" s="120">
        <f>IF(G31=$S$7,1,0)+IF(H31=$S$7,1,0)+IF(I31=$S$7,1,0)+IF(J31=$S$7,1,0)+IF(K31=$S$7,1,0)</f>
        <v/>
      </c>
      <c r="T31" s="331">
        <f>IF(G31=$T$7,1,0)+IF(H31=$T$7,1,0)+IF(I31=$T$7,1,0)+IF(J31=$T$7,1,0)+IF(K31=$T$7,1,0)</f>
        <v/>
      </c>
      <c r="U31" s="331">
        <f>SUM(G31:K31)</f>
        <v/>
      </c>
      <c r="V31" s="332" t="n">
        <v>25</v>
      </c>
      <c r="W31" s="333">
        <f>IF(U31-V31&gt;0.1,1,0)</f>
        <v/>
      </c>
      <c r="X31" s="333">
        <f>U31-V31</f>
        <v/>
      </c>
      <c r="Y31" s="334" t="n">
        <v>150</v>
      </c>
      <c r="Z31" s="334" t="n"/>
    </row>
    <row r="32" ht="25.05" customFormat="1" customHeight="1" s="86">
      <c r="A32" s="101" t="n">
        <v>13</v>
      </c>
      <c r="B32" s="309" t="n"/>
      <c r="C32" s="329" t="inlineStr">
        <is>
          <t>JVY420</t>
        </is>
      </c>
      <c r="D32" s="103" t="inlineStr">
        <is>
          <t>L8</t>
        </is>
      </c>
      <c r="E32" s="104" t="inlineStr">
        <is>
          <t>NHÀ XƯỞNG</t>
        </is>
      </c>
      <c r="F32" s="103" t="inlineStr">
        <is>
          <t>D300</t>
        </is>
      </c>
      <c r="G32" s="105" t="n">
        <v>13</v>
      </c>
      <c r="H32" s="330" t="n">
        <v>10</v>
      </c>
      <c r="I32" s="105" t="n"/>
      <c r="J32" s="105" t="n"/>
      <c r="K32" s="105" t="n"/>
      <c r="L32" s="120">
        <f>IF(G32=$L$7,1,0)+IF(H32=$L$7,1,0)+IF(I32=$L$7,1,0)+IF(J32=$L$7,1,0)+IF(K32=$L$7,1,0)</f>
        <v/>
      </c>
      <c r="M32" s="120">
        <f>IF(G32=$M$7,1,0)+IF(H32=$M$7,1,0)+IF(I32=$M$7,1,0)+IF(J32=$M$7,1,0)+IF(K32=$M$7,1,0)</f>
        <v/>
      </c>
      <c r="N32" s="120">
        <f>IF(G32=$N$7,1,0)+IF(H32=$N$7,1,0)+IF(I32=$N$7,1,0)+IF(J32=$N$7,1,0)+IF(K32=$N$7,1,0)</f>
        <v/>
      </c>
      <c r="O32" s="120">
        <f>IF(G32=$O$7,1,0)+IF(H32=$O$7,1,0)+IF(I32=$O$7,1,0)+IF(J32=$O$7,1,0)+IF(K32=$O$7,1,0)</f>
        <v/>
      </c>
      <c r="P32" s="120">
        <f>IF(G32=$P$7,1,0)+IF(H32=$P$7,1,0)+IF(I32=$P$7,1,0)+IF(J32=$P$7,1,0)+IF(K32=$P$7,1,0)</f>
        <v/>
      </c>
      <c r="Q32" s="120">
        <f>IF(G32=$Q$7,1,0)+IF(H32=$Q$7,1,0)+IF(I32=$Q$7,1,0)+IF(J32=$Q$7,1,0)+IF(K32=$Q$7,1,0)</f>
        <v/>
      </c>
      <c r="R32" s="120">
        <f>IF(G32=$R$7,1,0)+IF(H32=$R$7,1,0)+IF(I32=$R$7,1,0)+IF(J32=$R$7,1,0)+IF(K32=$R$7,1,0)</f>
        <v/>
      </c>
      <c r="S32" s="120">
        <f>IF(G32=$S$7,1,0)+IF(H32=$S$7,1,0)+IF(I32=$S$7,1,0)+IF(J32=$S$7,1,0)+IF(K32=$S$7,1,0)</f>
        <v/>
      </c>
      <c r="T32" s="331">
        <f>IF(G32=$T$7,1,0)+IF(H32=$T$7,1,0)+IF(I32=$T$7,1,0)+IF(J32=$T$7,1,0)+IF(K32=$T$7,1,0)</f>
        <v/>
      </c>
      <c r="U32" s="331">
        <f>SUM(G32:K32)</f>
        <v/>
      </c>
      <c r="V32" s="332" t="n">
        <v>23</v>
      </c>
      <c r="W32" s="333">
        <f>IF(U32-V32&gt;0.1,1,0)</f>
        <v/>
      </c>
      <c r="X32" s="333">
        <f>U32-V32</f>
        <v/>
      </c>
      <c r="Y32" s="334" t="n">
        <v>135</v>
      </c>
      <c r="Z32" s="334" t="n"/>
    </row>
    <row r="33" ht="25.05" customFormat="1" customHeight="1" s="86">
      <c r="A33" s="101" t="n">
        <v>14</v>
      </c>
      <c r="B33" s="309" t="n"/>
      <c r="C33" s="329" t="inlineStr">
        <is>
          <t>JVY420</t>
        </is>
      </c>
      <c r="D33" s="103" t="inlineStr">
        <is>
          <t>L6</t>
        </is>
      </c>
      <c r="E33" s="104" t="inlineStr">
        <is>
          <t>NHÀ XƯỞNG</t>
        </is>
      </c>
      <c r="F33" s="103" t="inlineStr">
        <is>
          <t>D300</t>
        </is>
      </c>
      <c r="G33" s="105" t="n">
        <v>12</v>
      </c>
      <c r="H33" s="330" t="n">
        <v>12</v>
      </c>
      <c r="I33" s="105" t="n"/>
      <c r="J33" s="105" t="n"/>
      <c r="K33" s="105" t="n"/>
      <c r="L33" s="120">
        <f>IF(G33=$L$7,1,0)+IF(H33=$L$7,1,0)+IF(I33=$L$7,1,0)+IF(J33=$L$7,1,0)+IF(K33=$L$7,1,0)</f>
        <v/>
      </c>
      <c r="M33" s="120">
        <f>IF(G33=$M$7,1,0)+IF(H33=$M$7,1,0)+IF(I33=$M$7,1,0)+IF(J33=$M$7,1,0)+IF(K33=$M$7,1,0)</f>
        <v/>
      </c>
      <c r="N33" s="120">
        <f>IF(G33=$N$7,1,0)+IF(H33=$N$7,1,0)+IF(I33=$N$7,1,0)+IF(J33=$N$7,1,0)+IF(K33=$N$7,1,0)</f>
        <v/>
      </c>
      <c r="O33" s="120">
        <f>IF(G33=$O$7,1,0)+IF(H33=$O$7,1,0)+IF(I33=$O$7,1,0)+IF(J33=$O$7,1,0)+IF(K33=$O$7,1,0)</f>
        <v/>
      </c>
      <c r="P33" s="120">
        <f>IF(G33=$P$7,1,0)+IF(H33=$P$7,1,0)+IF(I33=$P$7,1,0)+IF(J33=$P$7,1,0)+IF(K33=$P$7,1,0)</f>
        <v/>
      </c>
      <c r="Q33" s="120">
        <f>IF(G33=$Q$7,1,0)+IF(H33=$Q$7,1,0)+IF(I33=$Q$7,1,0)+IF(J33=$Q$7,1,0)+IF(K33=$Q$7,1,0)</f>
        <v/>
      </c>
      <c r="R33" s="120">
        <f>IF(G33=$R$7,1,0)+IF(H33=$R$7,1,0)+IF(I33=$R$7,1,0)+IF(J33=$R$7,1,0)+IF(K33=$R$7,1,0)</f>
        <v/>
      </c>
      <c r="S33" s="120">
        <f>IF(G33=$S$7,1,0)+IF(H33=$S$7,1,0)+IF(I33=$S$7,1,0)+IF(J33=$S$7,1,0)+IF(K33=$S$7,1,0)</f>
        <v/>
      </c>
      <c r="T33" s="331">
        <f>IF(G33=$T$7,1,0)+IF(H33=$T$7,1,0)+IF(I33=$T$7,1,0)+IF(J33=$T$7,1,0)+IF(K33=$T$7,1,0)</f>
        <v/>
      </c>
      <c r="U33" s="331">
        <f>SUM(G33:K33)</f>
        <v/>
      </c>
      <c r="V33" s="332" t="n">
        <v>24</v>
      </c>
      <c r="W33" s="333">
        <f>IF(U33-V33&gt;0.1,1,0)</f>
        <v/>
      </c>
      <c r="X33" s="333">
        <f>U33-V33</f>
        <v/>
      </c>
      <c r="Y33" s="334" t="n">
        <v>140</v>
      </c>
      <c r="Z33" s="334" t="n"/>
    </row>
    <row r="34" ht="25.05" customFormat="1" customHeight="1" s="86">
      <c r="A34" s="101" t="n">
        <v>15</v>
      </c>
      <c r="B34" s="309" t="n"/>
      <c r="C34" s="329" t="inlineStr">
        <is>
          <t>JVY420</t>
        </is>
      </c>
      <c r="D34" s="103" t="inlineStr">
        <is>
          <t>L4</t>
        </is>
      </c>
      <c r="E34" s="104" t="inlineStr">
        <is>
          <t>NHÀ XƯỞNG</t>
        </is>
      </c>
      <c r="F34" s="103" t="inlineStr">
        <is>
          <t>D300</t>
        </is>
      </c>
      <c r="G34" s="105" t="n">
        <v>12</v>
      </c>
      <c r="H34" s="330" t="n">
        <v>12</v>
      </c>
      <c r="I34" s="105" t="n"/>
      <c r="J34" s="105" t="n"/>
      <c r="K34" s="105" t="n"/>
      <c r="L34" s="120">
        <f>IF(G34=$L$7,1,0)+IF(H34=$L$7,1,0)+IF(I34=$L$7,1,0)+IF(J34=$L$7,1,0)+IF(K34=$L$7,1,0)</f>
        <v/>
      </c>
      <c r="M34" s="120">
        <f>IF(G34=$M$7,1,0)+IF(H34=$M$7,1,0)+IF(I34=$M$7,1,0)+IF(J34=$M$7,1,0)+IF(K34=$M$7,1,0)</f>
        <v/>
      </c>
      <c r="N34" s="120">
        <f>IF(G34=$N$7,1,0)+IF(H34=$N$7,1,0)+IF(I34=$N$7,1,0)+IF(J34=$N$7,1,0)+IF(K34=$N$7,1,0)</f>
        <v/>
      </c>
      <c r="O34" s="120">
        <f>IF(G34=$O$7,1,0)+IF(H34=$O$7,1,0)+IF(I34=$O$7,1,0)+IF(J34=$O$7,1,0)+IF(K34=$O$7,1,0)</f>
        <v/>
      </c>
      <c r="P34" s="120">
        <f>IF(G34=$P$7,1,0)+IF(H34=$P$7,1,0)+IF(I34=$P$7,1,0)+IF(J34=$P$7,1,0)+IF(K34=$P$7,1,0)</f>
        <v/>
      </c>
      <c r="Q34" s="120">
        <f>IF(G34=$Q$7,1,0)+IF(H34=$Q$7,1,0)+IF(I34=$Q$7,1,0)+IF(J34=$Q$7,1,0)+IF(K34=$Q$7,1,0)</f>
        <v/>
      </c>
      <c r="R34" s="120">
        <f>IF(G34=$R$7,1,0)+IF(H34=$R$7,1,0)+IF(I34=$R$7,1,0)+IF(J34=$R$7,1,0)+IF(K34=$R$7,1,0)</f>
        <v/>
      </c>
      <c r="S34" s="120">
        <f>IF(G34=$S$7,1,0)+IF(H34=$S$7,1,0)+IF(I34=$S$7,1,0)+IF(J34=$S$7,1,0)+IF(K34=$S$7,1,0)</f>
        <v/>
      </c>
      <c r="T34" s="331">
        <f>IF(G34=$T$7,1,0)+IF(H34=$T$7,1,0)+IF(I34=$T$7,1,0)+IF(J34=$T$7,1,0)+IF(K34=$T$7,1,0)</f>
        <v/>
      </c>
      <c r="U34" s="331">
        <f>SUM(G34:K34)</f>
        <v/>
      </c>
      <c r="V34" s="332" t="n">
        <v>24</v>
      </c>
      <c r="W34" s="333">
        <f>IF(U34-V34&gt;0.1,1,0)</f>
        <v/>
      </c>
      <c r="X34" s="333">
        <f>U34-V34</f>
        <v/>
      </c>
      <c r="Y34" s="334" t="n">
        <v>140</v>
      </c>
      <c r="Z34" s="334" t="n"/>
    </row>
    <row r="35" ht="25.05" customFormat="1" customHeight="1" s="86">
      <c r="A35" s="101" t="n">
        <v>16</v>
      </c>
      <c r="B35" s="309" t="n"/>
      <c r="C35" s="329" t="inlineStr">
        <is>
          <t>JVY420</t>
        </is>
      </c>
      <c r="D35" s="103" t="inlineStr">
        <is>
          <t>L2</t>
        </is>
      </c>
      <c r="E35" s="104" t="inlineStr">
        <is>
          <t>NHÀ XƯỞNG</t>
        </is>
      </c>
      <c r="F35" s="103" t="inlineStr">
        <is>
          <t>D300</t>
        </is>
      </c>
      <c r="G35" s="105" t="n">
        <v>12</v>
      </c>
      <c r="H35" s="330" t="n">
        <v>12</v>
      </c>
      <c r="I35" s="105" t="n"/>
      <c r="J35" s="105" t="n"/>
      <c r="K35" s="105" t="n"/>
      <c r="L35" s="120">
        <f>IF(G35=$L$7,1,0)+IF(H35=$L$7,1,0)+IF(I35=$L$7,1,0)+IF(J35=$L$7,1,0)+IF(K35=$L$7,1,0)</f>
        <v/>
      </c>
      <c r="M35" s="120">
        <f>IF(G35=$M$7,1,0)+IF(H35=$M$7,1,0)+IF(I35=$M$7,1,0)+IF(J35=$M$7,1,0)+IF(K35=$M$7,1,0)</f>
        <v/>
      </c>
      <c r="N35" s="120">
        <f>IF(G35=$N$7,1,0)+IF(H35=$N$7,1,0)+IF(I35=$N$7,1,0)+IF(J35=$N$7,1,0)+IF(K35=$N$7,1,0)</f>
        <v/>
      </c>
      <c r="O35" s="120">
        <f>IF(G35=$O$7,1,0)+IF(H35=$O$7,1,0)+IF(I35=$O$7,1,0)+IF(J35=$O$7,1,0)+IF(K35=$O$7,1,0)</f>
        <v/>
      </c>
      <c r="P35" s="120">
        <f>IF(G35=$P$7,1,0)+IF(H35=$P$7,1,0)+IF(I35=$P$7,1,0)+IF(J35=$P$7,1,0)+IF(K35=$P$7,1,0)</f>
        <v/>
      </c>
      <c r="Q35" s="120">
        <f>IF(G35=$Q$7,1,0)+IF(H35=$Q$7,1,0)+IF(I35=$Q$7,1,0)+IF(J35=$Q$7,1,0)+IF(K35=$Q$7,1,0)</f>
        <v/>
      </c>
      <c r="R35" s="120">
        <f>IF(G35=$R$7,1,0)+IF(H35=$R$7,1,0)+IF(I35=$R$7,1,0)+IF(J35=$R$7,1,0)+IF(K35=$R$7,1,0)</f>
        <v/>
      </c>
      <c r="S35" s="120">
        <f>IF(G35=$S$7,1,0)+IF(H35=$S$7,1,0)+IF(I35=$S$7,1,0)+IF(J35=$S$7,1,0)+IF(K35=$S$7,1,0)</f>
        <v/>
      </c>
      <c r="T35" s="331">
        <f>IF(G35=$T$7,1,0)+IF(H35=$T$7,1,0)+IF(I35=$T$7,1,0)+IF(J35=$T$7,1,0)+IF(K35=$T$7,1,0)</f>
        <v/>
      </c>
      <c r="U35" s="331">
        <f>SUM(G35:K35)</f>
        <v/>
      </c>
      <c r="V35" s="332" t="n">
        <v>24</v>
      </c>
      <c r="W35" s="333">
        <f>IF(U35-V35&gt;0.1,1,0)</f>
        <v/>
      </c>
      <c r="X35" s="333">
        <f>U35-V35</f>
        <v/>
      </c>
      <c r="Y35" s="334" t="n">
        <v>140</v>
      </c>
      <c r="Z35" s="334" t="n"/>
    </row>
    <row r="36" ht="25.05" customFormat="1" customHeight="1" s="86">
      <c r="A36" s="101" t="n">
        <v>17</v>
      </c>
      <c r="B36" s="309" t="n"/>
      <c r="C36" s="329" t="inlineStr">
        <is>
          <t>JVY420</t>
        </is>
      </c>
      <c r="D36" s="103" t="inlineStr">
        <is>
          <t>L1</t>
        </is>
      </c>
      <c r="E36" s="104" t="inlineStr">
        <is>
          <t>NHÀ XƯỞNG</t>
        </is>
      </c>
      <c r="F36" s="103" t="inlineStr">
        <is>
          <t>D300</t>
        </is>
      </c>
      <c r="G36" s="105" t="n">
        <v>12</v>
      </c>
      <c r="H36" s="330" t="n">
        <v>12</v>
      </c>
      <c r="I36" s="105" t="n"/>
      <c r="J36" s="105" t="n"/>
      <c r="K36" s="105" t="n"/>
      <c r="L36" s="120">
        <f>IF(G36=$L$7,1,0)+IF(H36=$L$7,1,0)+IF(I36=$L$7,1,0)+IF(J36=$L$7,1,0)+IF(K36=$L$7,1,0)</f>
        <v/>
      </c>
      <c r="M36" s="120">
        <f>IF(G36=$M$7,1,0)+IF(H36=$M$7,1,0)+IF(I36=$M$7,1,0)+IF(J36=$M$7,1,0)+IF(K36=$M$7,1,0)</f>
        <v/>
      </c>
      <c r="N36" s="120">
        <f>IF(G36=$N$7,1,0)+IF(H36=$N$7,1,0)+IF(I36=$N$7,1,0)+IF(J36=$N$7,1,0)+IF(K36=$N$7,1,0)</f>
        <v/>
      </c>
      <c r="O36" s="120">
        <f>IF(G36=$O$7,1,0)+IF(H36=$O$7,1,0)+IF(I36=$O$7,1,0)+IF(J36=$O$7,1,0)+IF(K36=$O$7,1,0)</f>
        <v/>
      </c>
      <c r="P36" s="120">
        <f>IF(G36=$P$7,1,0)+IF(H36=$P$7,1,0)+IF(I36=$P$7,1,0)+IF(J36=$P$7,1,0)+IF(K36=$P$7,1,0)</f>
        <v/>
      </c>
      <c r="Q36" s="120">
        <f>IF(G36=$Q$7,1,0)+IF(H36=$Q$7,1,0)+IF(I36=$Q$7,1,0)+IF(J36=$Q$7,1,0)+IF(K36=$Q$7,1,0)</f>
        <v/>
      </c>
      <c r="R36" s="120">
        <f>IF(G36=$R$7,1,0)+IF(H36=$R$7,1,0)+IF(I36=$R$7,1,0)+IF(J36=$R$7,1,0)+IF(K36=$R$7,1,0)</f>
        <v/>
      </c>
      <c r="S36" s="120">
        <f>IF(G36=$S$7,1,0)+IF(H36=$S$7,1,0)+IF(I36=$S$7,1,0)+IF(J36=$S$7,1,0)+IF(K36=$S$7,1,0)</f>
        <v/>
      </c>
      <c r="T36" s="331">
        <f>IF(G36=$T$7,1,0)+IF(H36=$T$7,1,0)+IF(I36=$T$7,1,0)+IF(J36=$T$7,1,0)+IF(K36=$T$7,1,0)</f>
        <v/>
      </c>
      <c r="U36" s="331">
        <f>SUM(G36:K36)</f>
        <v/>
      </c>
      <c r="V36" s="332" t="n">
        <v>24</v>
      </c>
      <c r="W36" s="333">
        <f>IF(U36-V36&gt;0.1,1,0)</f>
        <v/>
      </c>
      <c r="X36" s="333">
        <f>U36-V36</f>
        <v/>
      </c>
      <c r="Y36" s="334" t="n">
        <v>140</v>
      </c>
      <c r="Z36" s="334" t="n"/>
    </row>
    <row r="37" ht="25.05" customFormat="1" customHeight="1" s="86">
      <c r="A37" s="101" t="n">
        <v>18</v>
      </c>
      <c r="B37" s="309" t="n"/>
      <c r="C37" s="329" t="inlineStr">
        <is>
          <t>JVY420</t>
        </is>
      </c>
      <c r="D37" s="103" t="inlineStr">
        <is>
          <t>L5</t>
        </is>
      </c>
      <c r="E37" s="104" t="inlineStr">
        <is>
          <t>NHÀ XƯỞNG</t>
        </is>
      </c>
      <c r="F37" s="103" t="inlineStr">
        <is>
          <t>D300</t>
        </is>
      </c>
      <c r="G37" s="105" t="n">
        <v>12</v>
      </c>
      <c r="H37" s="330" t="n">
        <v>12</v>
      </c>
      <c r="I37" s="105" t="n"/>
      <c r="J37" s="105" t="n"/>
      <c r="K37" s="105" t="n"/>
      <c r="L37" s="120">
        <f>IF(G37=$L$7,1,0)+IF(H37=$L$7,1,0)+IF(I37=$L$7,1,0)+IF(J37=$L$7,1,0)+IF(K37=$L$7,1,0)</f>
        <v/>
      </c>
      <c r="M37" s="120">
        <f>IF(G37=$M$7,1,0)+IF(H37=$M$7,1,0)+IF(I37=$M$7,1,0)+IF(J37=$M$7,1,0)+IF(K37=$M$7,1,0)</f>
        <v/>
      </c>
      <c r="N37" s="120">
        <f>IF(G37=$N$7,1,0)+IF(H37=$N$7,1,0)+IF(I37=$N$7,1,0)+IF(J37=$N$7,1,0)+IF(K37=$N$7,1,0)</f>
        <v/>
      </c>
      <c r="O37" s="120">
        <f>IF(G37=$O$7,1,0)+IF(H37=$O$7,1,0)+IF(I37=$O$7,1,0)+IF(J37=$O$7,1,0)+IF(K37=$O$7,1,0)</f>
        <v/>
      </c>
      <c r="P37" s="120">
        <f>IF(G37=$P$7,1,0)+IF(H37=$P$7,1,0)+IF(I37=$P$7,1,0)+IF(J37=$P$7,1,0)+IF(K37=$P$7,1,0)</f>
        <v/>
      </c>
      <c r="Q37" s="120">
        <f>IF(G37=$Q$7,1,0)+IF(H37=$Q$7,1,0)+IF(I37=$Q$7,1,0)+IF(J37=$Q$7,1,0)+IF(K37=$Q$7,1,0)</f>
        <v/>
      </c>
      <c r="R37" s="120">
        <f>IF(G37=$R$7,1,0)+IF(H37=$R$7,1,0)+IF(I37=$R$7,1,0)+IF(J37=$R$7,1,0)+IF(K37=$R$7,1,0)</f>
        <v/>
      </c>
      <c r="S37" s="120">
        <f>IF(G37=$S$7,1,0)+IF(H37=$S$7,1,0)+IF(I37=$S$7,1,0)+IF(J37=$S$7,1,0)+IF(K37=$S$7,1,0)</f>
        <v/>
      </c>
      <c r="T37" s="331">
        <f>IF(G37=$T$7,1,0)+IF(H37=$T$7,1,0)+IF(I37=$T$7,1,0)+IF(J37=$T$7,1,0)+IF(K37=$T$7,1,0)</f>
        <v/>
      </c>
      <c r="U37" s="331">
        <f>SUM(G37:K37)</f>
        <v/>
      </c>
      <c r="V37" s="332" t="n">
        <v>24</v>
      </c>
      <c r="W37" s="333">
        <f>IF(U37-V37&gt;0.1,1,0)</f>
        <v/>
      </c>
      <c r="X37" s="333">
        <f>U37-V37</f>
        <v/>
      </c>
      <c r="Y37" s="334" t="n">
        <v>140</v>
      </c>
      <c r="Z37" s="334" t="n"/>
    </row>
    <row r="38" ht="25.05" customFormat="1" customHeight="1" s="86">
      <c r="A38" s="101" t="n">
        <v>19</v>
      </c>
      <c r="B38" s="309" t="n"/>
      <c r="C38" s="329" t="inlineStr">
        <is>
          <t>JVY420</t>
        </is>
      </c>
      <c r="D38" s="103" t="inlineStr">
        <is>
          <t>L3</t>
        </is>
      </c>
      <c r="E38" s="104" t="inlineStr">
        <is>
          <t>NHÀ XƯỞNG</t>
        </is>
      </c>
      <c r="F38" s="103" t="inlineStr">
        <is>
          <t>D300</t>
        </is>
      </c>
      <c r="G38" s="105" t="n">
        <v>12</v>
      </c>
      <c r="H38" s="330" t="n">
        <v>11</v>
      </c>
      <c r="I38" s="105" t="n"/>
      <c r="J38" s="105" t="n"/>
      <c r="K38" s="105" t="n"/>
      <c r="L38" s="120">
        <f>IF(G38=$L$7,1,0)+IF(H38=$L$7,1,0)+IF(I38=$L$7,1,0)+IF(J38=$L$7,1,0)+IF(K38=$L$7,1,0)</f>
        <v/>
      </c>
      <c r="M38" s="120">
        <f>IF(G38=$M$7,1,0)+IF(H38=$M$7,1,0)+IF(I38=$M$7,1,0)+IF(J38=$M$7,1,0)+IF(K38=$M$7,1,0)</f>
        <v/>
      </c>
      <c r="N38" s="120">
        <f>IF(G38=$N$7,1,0)+IF(H38=$N$7,1,0)+IF(I38=$N$7,1,0)+IF(J38=$N$7,1,0)+IF(K38=$N$7,1,0)</f>
        <v/>
      </c>
      <c r="O38" s="120">
        <f>IF(G38=$O$7,1,0)+IF(H38=$O$7,1,0)+IF(I38=$O$7,1,0)+IF(J38=$O$7,1,0)+IF(K38=$O$7,1,0)</f>
        <v/>
      </c>
      <c r="P38" s="120">
        <f>IF(G38=$P$7,1,0)+IF(H38=$P$7,1,0)+IF(I38=$P$7,1,0)+IF(J38=$P$7,1,0)+IF(K38=$P$7,1,0)</f>
        <v/>
      </c>
      <c r="Q38" s="120">
        <f>IF(G38=$Q$7,1,0)+IF(H38=$Q$7,1,0)+IF(I38=$Q$7,1,0)+IF(J38=$Q$7,1,0)+IF(K38=$Q$7,1,0)</f>
        <v/>
      </c>
      <c r="R38" s="120">
        <f>IF(G38=$R$7,1,0)+IF(H38=$R$7,1,0)+IF(I38=$R$7,1,0)+IF(J38=$R$7,1,0)+IF(K38=$R$7,1,0)</f>
        <v/>
      </c>
      <c r="S38" s="120">
        <f>IF(G38=$S$7,1,0)+IF(H38=$S$7,1,0)+IF(I38=$S$7,1,0)+IF(J38=$S$7,1,0)+IF(K38=$S$7,1,0)</f>
        <v/>
      </c>
      <c r="T38" s="331">
        <f>IF(G38=$T$7,1,0)+IF(H38=$T$7,1,0)+IF(I38=$T$7,1,0)+IF(J38=$T$7,1,0)+IF(K38=$T$7,1,0)</f>
        <v/>
      </c>
      <c r="U38" s="331">
        <f>SUM(G38:K38)</f>
        <v/>
      </c>
      <c r="V38" s="332" t="n">
        <v>23</v>
      </c>
      <c r="W38" s="333">
        <f>IF(U38-V38&gt;0.1,1,0)</f>
        <v/>
      </c>
      <c r="X38" s="333">
        <f>U38-V38</f>
        <v/>
      </c>
      <c r="Y38" s="334" t="n">
        <v>136</v>
      </c>
      <c r="Z38" s="334" t="n"/>
    </row>
    <row r="39" ht="25.05" customFormat="1" customHeight="1" s="86">
      <c r="A39" s="101" t="n">
        <v>20</v>
      </c>
      <c r="B39" s="309" t="n"/>
      <c r="C39" s="329" t="inlineStr">
        <is>
          <t>JVY420</t>
        </is>
      </c>
      <c r="D39" s="103" t="inlineStr">
        <is>
          <t>L7</t>
        </is>
      </c>
      <c r="E39" s="104" t="inlineStr">
        <is>
          <t>NHÀ XƯỞNG</t>
        </is>
      </c>
      <c r="F39" s="103" t="inlineStr">
        <is>
          <t>D300</t>
        </is>
      </c>
      <c r="G39" s="105" t="n">
        <v>12</v>
      </c>
      <c r="H39" s="330" t="n">
        <v>11</v>
      </c>
      <c r="I39" s="105" t="n"/>
      <c r="J39" s="105" t="n"/>
      <c r="K39" s="105" t="n"/>
      <c r="L39" s="120">
        <f>IF(G39=$L$7,1,0)+IF(H39=$L$7,1,0)+IF(I39=$L$7,1,0)+IF(J39=$L$7,1,0)+IF(K39=$L$7,1,0)</f>
        <v/>
      </c>
      <c r="M39" s="120">
        <f>IF(G39=$M$7,1,0)+IF(H39=$M$7,1,0)+IF(I39=$M$7,1,0)+IF(J39=$M$7,1,0)+IF(K39=$M$7,1,0)</f>
        <v/>
      </c>
      <c r="N39" s="120">
        <f>IF(G39=$N$7,1,0)+IF(H39=$N$7,1,0)+IF(I39=$N$7,1,0)+IF(J39=$N$7,1,0)+IF(K39=$N$7,1,0)</f>
        <v/>
      </c>
      <c r="O39" s="120">
        <f>IF(G39=$O$7,1,0)+IF(H39=$O$7,1,0)+IF(I39=$O$7,1,0)+IF(J39=$O$7,1,0)+IF(K39=$O$7,1,0)</f>
        <v/>
      </c>
      <c r="P39" s="120">
        <f>IF(G39=$P$7,1,0)+IF(H39=$P$7,1,0)+IF(I39=$P$7,1,0)+IF(J39=$P$7,1,0)+IF(K39=$P$7,1,0)</f>
        <v/>
      </c>
      <c r="Q39" s="120">
        <f>IF(G39=$Q$7,1,0)+IF(H39=$Q$7,1,0)+IF(I39=$Q$7,1,0)+IF(J39=$Q$7,1,0)+IF(K39=$Q$7,1,0)</f>
        <v/>
      </c>
      <c r="R39" s="120">
        <f>IF(G39=$R$7,1,0)+IF(H39=$R$7,1,0)+IF(I39=$R$7,1,0)+IF(J39=$R$7,1,0)+IF(K39=$R$7,1,0)</f>
        <v/>
      </c>
      <c r="S39" s="120">
        <f>IF(G39=$S$7,1,0)+IF(H39=$S$7,1,0)+IF(I39=$S$7,1,0)+IF(J39=$S$7,1,0)+IF(K39=$S$7,1,0)</f>
        <v/>
      </c>
      <c r="T39" s="331">
        <f>IF(G39=$T$7,1,0)+IF(H39=$T$7,1,0)+IF(I39=$T$7,1,0)+IF(J39=$T$7,1,0)+IF(K39=$T$7,1,0)</f>
        <v/>
      </c>
      <c r="U39" s="331">
        <f>SUM(G39:K39)</f>
        <v/>
      </c>
      <c r="V39" s="332" t="n">
        <v>23</v>
      </c>
      <c r="W39" s="333">
        <f>IF(U39-V39&gt;0.1,1,0)</f>
        <v/>
      </c>
      <c r="X39" s="333">
        <f>U39-V39</f>
        <v/>
      </c>
      <c r="Y39" s="334" t="n">
        <v>136</v>
      </c>
      <c r="Z39" s="334" t="n"/>
    </row>
    <row r="40" ht="25.05" customFormat="1" customHeight="1" s="86">
      <c r="A40" s="101" t="n">
        <v>21</v>
      </c>
      <c r="B40" s="309" t="n"/>
      <c r="C40" s="329" t="inlineStr">
        <is>
          <t>JVY420</t>
        </is>
      </c>
      <c r="D40" s="103" t="inlineStr">
        <is>
          <t>L11</t>
        </is>
      </c>
      <c r="E40" s="104" t="inlineStr">
        <is>
          <t>NHÀ XƯỞNG</t>
        </is>
      </c>
      <c r="F40" s="103" t="inlineStr">
        <is>
          <t>D300</t>
        </is>
      </c>
      <c r="G40" s="105" t="n">
        <v>12</v>
      </c>
      <c r="H40" s="330" t="n">
        <v>11</v>
      </c>
      <c r="I40" s="105" t="n"/>
      <c r="J40" s="105" t="n"/>
      <c r="K40" s="105" t="n"/>
      <c r="L40" s="120">
        <f>IF(G40=$L$7,1,0)+IF(H40=$L$7,1,0)+IF(I40=$L$7,1,0)+IF(J40=$L$7,1,0)+IF(K40=$L$7,1,0)</f>
        <v/>
      </c>
      <c r="M40" s="120">
        <f>IF(G40=$M$7,1,0)+IF(H40=$M$7,1,0)+IF(I40=$M$7,1,0)+IF(J40=$M$7,1,0)+IF(K40=$M$7,1,0)</f>
        <v/>
      </c>
      <c r="N40" s="120">
        <f>IF(G40=$N$7,1,0)+IF(H40=$N$7,1,0)+IF(I40=$N$7,1,0)+IF(J40=$N$7,1,0)+IF(K40=$N$7,1,0)</f>
        <v/>
      </c>
      <c r="O40" s="120">
        <f>IF(G40=$O$7,1,0)+IF(H40=$O$7,1,0)+IF(I40=$O$7,1,0)+IF(J40=$O$7,1,0)+IF(K40=$O$7,1,0)</f>
        <v/>
      </c>
      <c r="P40" s="120">
        <f>IF(G40=$P$7,1,0)+IF(H40=$P$7,1,0)+IF(I40=$P$7,1,0)+IF(J40=$P$7,1,0)+IF(K40=$P$7,1,0)</f>
        <v/>
      </c>
      <c r="Q40" s="120">
        <f>IF(G40=$Q$7,1,0)+IF(H40=$Q$7,1,0)+IF(I40=$Q$7,1,0)+IF(J40=$Q$7,1,0)+IF(K40=$Q$7,1,0)</f>
        <v/>
      </c>
      <c r="R40" s="120">
        <f>IF(G40=$R$7,1,0)+IF(H40=$R$7,1,0)+IF(I40=$R$7,1,0)+IF(J40=$R$7,1,0)+IF(K40=$R$7,1,0)</f>
        <v/>
      </c>
      <c r="S40" s="120">
        <f>IF(G40=$S$7,1,0)+IF(H40=$S$7,1,0)+IF(I40=$S$7,1,0)+IF(J40=$S$7,1,0)+IF(K40=$S$7,1,0)</f>
        <v/>
      </c>
      <c r="T40" s="331">
        <f>IF(G40=$T$7,1,0)+IF(H40=$T$7,1,0)+IF(I40=$T$7,1,0)+IF(J40=$T$7,1,0)+IF(K40=$T$7,1,0)</f>
        <v/>
      </c>
      <c r="U40" s="331">
        <f>SUM(G40:K40)</f>
        <v/>
      </c>
      <c r="V40" s="332" t="n">
        <v>23</v>
      </c>
      <c r="W40" s="333">
        <f>IF(U40-V40&gt;0.1,1,0)</f>
        <v/>
      </c>
      <c r="X40" s="333">
        <f>U40-V40</f>
        <v/>
      </c>
      <c r="Y40" s="334" t="n">
        <v>136</v>
      </c>
      <c r="Z40" s="334" t="n"/>
    </row>
    <row r="41" ht="25.05" customFormat="1" customHeight="1" s="86">
      <c r="A41" s="101" t="n">
        <v>22</v>
      </c>
      <c r="B41" s="309" t="n"/>
      <c r="C41" s="329" t="inlineStr">
        <is>
          <t>JVY420</t>
        </is>
      </c>
      <c r="D41" s="103" t="inlineStr">
        <is>
          <t>L15</t>
        </is>
      </c>
      <c r="E41" s="104" t="inlineStr">
        <is>
          <t>NHÀ XƯỞNG</t>
        </is>
      </c>
      <c r="F41" s="103" t="inlineStr">
        <is>
          <t>D300</t>
        </is>
      </c>
      <c r="G41" s="105" t="n">
        <v>12</v>
      </c>
      <c r="H41" s="330" t="n">
        <v>12</v>
      </c>
      <c r="I41" s="105" t="n"/>
      <c r="J41" s="105" t="n"/>
      <c r="K41" s="105" t="n"/>
      <c r="L41" s="120">
        <f>IF(G41=$L$7,1,0)+IF(H41=$L$7,1,0)+IF(I41=$L$7,1,0)+IF(J41=$L$7,1,0)+IF(K41=$L$7,1,0)</f>
        <v/>
      </c>
      <c r="M41" s="120">
        <f>IF(G41=$M$7,1,0)+IF(H41=$M$7,1,0)+IF(I41=$M$7,1,0)+IF(J41=$M$7,1,0)+IF(K41=$M$7,1,0)</f>
        <v/>
      </c>
      <c r="N41" s="120">
        <f>IF(G41=$N$7,1,0)+IF(H41=$N$7,1,0)+IF(I41=$N$7,1,0)+IF(J41=$N$7,1,0)+IF(K41=$N$7,1,0)</f>
        <v/>
      </c>
      <c r="O41" s="120">
        <f>IF(G41=$O$7,1,0)+IF(H41=$O$7,1,0)+IF(I41=$O$7,1,0)+IF(J41=$O$7,1,0)+IF(K41=$O$7,1,0)</f>
        <v/>
      </c>
      <c r="P41" s="120">
        <f>IF(G41=$P$7,1,0)+IF(H41=$P$7,1,0)+IF(I41=$P$7,1,0)+IF(J41=$P$7,1,0)+IF(K41=$P$7,1,0)</f>
        <v/>
      </c>
      <c r="Q41" s="120">
        <f>IF(G41=$Q$7,1,0)+IF(H41=$Q$7,1,0)+IF(I41=$Q$7,1,0)+IF(J41=$Q$7,1,0)+IF(K41=$Q$7,1,0)</f>
        <v/>
      </c>
      <c r="R41" s="120">
        <f>IF(G41=$R$7,1,0)+IF(H41=$R$7,1,0)+IF(I41=$R$7,1,0)+IF(J41=$R$7,1,0)+IF(K41=$R$7,1,0)</f>
        <v/>
      </c>
      <c r="S41" s="120">
        <f>IF(G41=$S$7,1,0)+IF(H41=$S$7,1,0)+IF(I41=$S$7,1,0)+IF(J41=$S$7,1,0)+IF(K41=$S$7,1,0)</f>
        <v/>
      </c>
      <c r="T41" s="331">
        <f>IF(G41=$T$7,1,0)+IF(H41=$T$7,1,0)+IF(I41=$T$7,1,0)+IF(J41=$T$7,1,0)+IF(K41=$T$7,1,0)</f>
        <v/>
      </c>
      <c r="U41" s="331">
        <f>SUM(G41:K41)</f>
        <v/>
      </c>
      <c r="V41" s="332" t="n">
        <v>24</v>
      </c>
      <c r="W41" s="333">
        <f>IF(U41-V41&gt;0.1,1,0)</f>
        <v/>
      </c>
      <c r="X41" s="333">
        <f>U41-V41</f>
        <v/>
      </c>
      <c r="Y41" s="334" t="n">
        <v>140</v>
      </c>
      <c r="Z41" s="334" t="n"/>
    </row>
    <row r="42" ht="25.05" customFormat="1" customHeight="1" s="86">
      <c r="A42" s="101" t="n">
        <v>23</v>
      </c>
      <c r="B42" s="309" t="n"/>
      <c r="C42" s="329" t="inlineStr">
        <is>
          <t>JVY420</t>
        </is>
      </c>
      <c r="D42" s="103" t="inlineStr">
        <is>
          <t>L19</t>
        </is>
      </c>
      <c r="E42" s="104" t="inlineStr">
        <is>
          <t>NHÀ XƯỞNG</t>
        </is>
      </c>
      <c r="F42" s="103" t="inlineStr">
        <is>
          <t>D300</t>
        </is>
      </c>
      <c r="G42" s="105" t="n">
        <v>12</v>
      </c>
      <c r="H42" s="330" t="n">
        <v>12</v>
      </c>
      <c r="I42" s="105" t="n"/>
      <c r="J42" s="105" t="n"/>
      <c r="K42" s="105" t="n"/>
      <c r="L42" s="120">
        <f>IF(G42=$L$7,1,0)+IF(H42=$L$7,1,0)+IF(I42=$L$7,1,0)+IF(J42=$L$7,1,0)+IF(K42=$L$7,1,0)</f>
        <v/>
      </c>
      <c r="M42" s="120">
        <f>IF(G42=$M$7,1,0)+IF(H42=$M$7,1,0)+IF(I42=$M$7,1,0)+IF(J42=$M$7,1,0)+IF(K42=$M$7,1,0)</f>
        <v/>
      </c>
      <c r="N42" s="120">
        <f>IF(G42=$N$7,1,0)+IF(H42=$N$7,1,0)+IF(I42=$N$7,1,0)+IF(J42=$N$7,1,0)+IF(K42=$N$7,1,0)</f>
        <v/>
      </c>
      <c r="O42" s="120">
        <f>IF(G42=$O$7,1,0)+IF(H42=$O$7,1,0)+IF(I42=$O$7,1,0)+IF(J42=$O$7,1,0)+IF(K42=$O$7,1,0)</f>
        <v/>
      </c>
      <c r="P42" s="120">
        <f>IF(G42=$P$7,1,0)+IF(H42=$P$7,1,0)+IF(I42=$P$7,1,0)+IF(J42=$P$7,1,0)+IF(K42=$P$7,1,0)</f>
        <v/>
      </c>
      <c r="Q42" s="120">
        <f>IF(G42=$Q$7,1,0)+IF(H42=$Q$7,1,0)+IF(I42=$Q$7,1,0)+IF(J42=$Q$7,1,0)+IF(K42=$Q$7,1,0)</f>
        <v/>
      </c>
      <c r="R42" s="120">
        <f>IF(G42=$R$7,1,0)+IF(H42=$R$7,1,0)+IF(I42=$R$7,1,0)+IF(J42=$R$7,1,0)+IF(K42=$R$7,1,0)</f>
        <v/>
      </c>
      <c r="S42" s="120">
        <f>IF(G42=$S$7,1,0)+IF(H42=$S$7,1,0)+IF(I42=$S$7,1,0)+IF(J42=$S$7,1,0)+IF(K42=$S$7,1,0)</f>
        <v/>
      </c>
      <c r="T42" s="331">
        <f>IF(G42=$T$7,1,0)+IF(H42=$T$7,1,0)+IF(I42=$T$7,1,0)+IF(J42=$T$7,1,0)+IF(K42=$T$7,1,0)</f>
        <v/>
      </c>
      <c r="U42" s="331">
        <f>SUM(G42:K42)</f>
        <v/>
      </c>
      <c r="V42" s="332" t="n">
        <v>24</v>
      </c>
      <c r="W42" s="333">
        <f>IF(U42-V42&gt;0.1,1,0)</f>
        <v/>
      </c>
      <c r="X42" s="333">
        <f>U42-V42</f>
        <v/>
      </c>
      <c r="Y42" s="334" t="n">
        <v>140</v>
      </c>
      <c r="Z42" s="334" t="n"/>
    </row>
    <row r="43" ht="25.05" customFormat="1" customHeight="1" s="86">
      <c r="A43" s="101" t="n">
        <v>24</v>
      </c>
      <c r="B43" s="335" t="n"/>
      <c r="C43" s="329" t="inlineStr">
        <is>
          <t>JVY420</t>
        </is>
      </c>
      <c r="D43" s="103" t="inlineStr">
        <is>
          <t>M6</t>
        </is>
      </c>
      <c r="E43" s="104" t="inlineStr">
        <is>
          <t>NHÀ XƯỞNG</t>
        </is>
      </c>
      <c r="F43" s="103" t="inlineStr">
        <is>
          <t>D300</t>
        </is>
      </c>
      <c r="G43" s="105" t="n">
        <v>12</v>
      </c>
      <c r="H43" s="330" t="n">
        <v>12</v>
      </c>
      <c r="I43" s="105" t="n"/>
      <c r="J43" s="105" t="n"/>
      <c r="K43" s="105" t="n"/>
      <c r="L43" s="120">
        <f>IF(G43=$L$7,1,0)+IF(H43=$L$7,1,0)+IF(I43=$L$7,1,0)+IF(J43=$L$7,1,0)+IF(K43=$L$7,1,0)</f>
        <v/>
      </c>
      <c r="M43" s="120">
        <f>IF(G43=$M$7,1,0)+IF(H43=$M$7,1,0)+IF(I43=$M$7,1,0)+IF(J43=$M$7,1,0)+IF(K43=$M$7,1,0)</f>
        <v/>
      </c>
      <c r="N43" s="120">
        <f>IF(G43=$N$7,1,0)+IF(H43=$N$7,1,0)+IF(I43=$N$7,1,0)+IF(J43=$N$7,1,0)+IF(K43=$N$7,1,0)</f>
        <v/>
      </c>
      <c r="O43" s="120">
        <f>IF(G43=$O$7,1,0)+IF(H43=$O$7,1,0)+IF(I43=$O$7,1,0)+IF(J43=$O$7,1,0)+IF(K43=$O$7,1,0)</f>
        <v/>
      </c>
      <c r="P43" s="120">
        <f>IF(G43=$P$7,1,0)+IF(H43=$P$7,1,0)+IF(I43=$P$7,1,0)+IF(J43=$P$7,1,0)+IF(K43=$P$7,1,0)</f>
        <v/>
      </c>
      <c r="Q43" s="120">
        <f>IF(G43=$Q$7,1,0)+IF(H43=$Q$7,1,0)+IF(I43=$Q$7,1,0)+IF(J43=$Q$7,1,0)+IF(K43=$Q$7,1,0)</f>
        <v/>
      </c>
      <c r="R43" s="120">
        <f>IF(G43=$R$7,1,0)+IF(H43=$R$7,1,0)+IF(I43=$R$7,1,0)+IF(J43=$R$7,1,0)+IF(K43=$R$7,1,0)</f>
        <v/>
      </c>
      <c r="S43" s="120">
        <f>IF(G43=$S$7,1,0)+IF(H43=$S$7,1,0)+IF(I43=$S$7,1,0)+IF(J43=$S$7,1,0)+IF(K43=$S$7,1,0)</f>
        <v/>
      </c>
      <c r="T43" s="331">
        <f>IF(G43=$T$7,1,0)+IF(H43=$T$7,1,0)+IF(I43=$T$7,1,0)+IF(J43=$T$7,1,0)+IF(K43=$T$7,1,0)</f>
        <v/>
      </c>
      <c r="U43" s="331">
        <f>SUM(G43:K43)</f>
        <v/>
      </c>
      <c r="V43" s="332" t="n">
        <v>24.4</v>
      </c>
      <c r="W43" s="333">
        <f>IF(U43-V43&gt;0.1,1,0)</f>
        <v/>
      </c>
      <c r="X43" s="333">
        <f>U43-V43</f>
        <v/>
      </c>
      <c r="Y43" s="334" t="n">
        <v>150</v>
      </c>
      <c r="Z43" s="334" t="n"/>
    </row>
    <row r="44" ht="25.05" customFormat="1" customHeight="1" s="86">
      <c r="A44" s="101" t="n">
        <v>25</v>
      </c>
      <c r="B44" s="209" t="n">
        <v>46083</v>
      </c>
      <c r="C44" s="329" t="inlineStr">
        <is>
          <t>JVY420</t>
        </is>
      </c>
      <c r="D44" s="103" t="inlineStr">
        <is>
          <t>M5</t>
        </is>
      </c>
      <c r="E44" s="104" t="inlineStr">
        <is>
          <t>NHÀ XƯỞNG</t>
        </is>
      </c>
      <c r="F44" s="103" t="inlineStr">
        <is>
          <t>D300</t>
        </is>
      </c>
      <c r="G44" s="105" t="n">
        <v>12</v>
      </c>
      <c r="H44" s="330" t="n">
        <v>10</v>
      </c>
      <c r="I44" s="105" t="n"/>
      <c r="J44" s="105" t="n"/>
      <c r="K44" s="105" t="n"/>
      <c r="L44" s="120">
        <f>IF(G44=$L$7,1,0)+IF(H44=$L$7,1,0)+IF(I44=$L$7,1,0)+IF(J44=$L$7,1,0)+IF(K44=$L$7,1,0)</f>
        <v/>
      </c>
      <c r="M44" s="120">
        <f>IF(G44=$M$7,1,0)+IF(H44=$M$7,1,0)+IF(I44=$M$7,1,0)+IF(J44=$M$7,1,0)+IF(K44=$M$7,1,0)</f>
        <v/>
      </c>
      <c r="N44" s="120">
        <f>IF(G44=$N$7,1,0)+IF(H44=$N$7,1,0)+IF(I44=$N$7,1,0)+IF(J44=$N$7,1,0)+IF(K44=$N$7,1,0)</f>
        <v/>
      </c>
      <c r="O44" s="120">
        <f>IF(G44=$O$7,1,0)+IF(H44=$O$7,1,0)+IF(I44=$O$7,1,0)+IF(J44=$O$7,1,0)+IF(K44=$O$7,1,0)</f>
        <v/>
      </c>
      <c r="P44" s="120">
        <f>IF(G44=$P$7,1,0)+IF(H44=$P$7,1,0)+IF(I44=$P$7,1,0)+IF(J44=$P$7,1,0)+IF(K44=$P$7,1,0)</f>
        <v/>
      </c>
      <c r="Q44" s="120">
        <f>IF(G44=$Q$7,1,0)+IF(H44=$Q$7,1,0)+IF(I44=$Q$7,1,0)+IF(J44=$Q$7,1,0)+IF(K44=$Q$7,1,0)</f>
        <v/>
      </c>
      <c r="R44" s="120">
        <f>IF(G44=$R$7,1,0)+IF(H44=$R$7,1,0)+IF(I44=$R$7,1,0)+IF(J44=$R$7,1,0)+IF(K44=$R$7,1,0)</f>
        <v/>
      </c>
      <c r="S44" s="120">
        <f>IF(G44=$S$7,1,0)+IF(H44=$S$7,1,0)+IF(I44=$S$7,1,0)+IF(J44=$S$7,1,0)+IF(K44=$S$7,1,0)</f>
        <v/>
      </c>
      <c r="T44" s="331">
        <f>IF(G44=$T$7,1,0)+IF(H44=$T$7,1,0)+IF(I44=$T$7,1,0)+IF(J44=$T$7,1,0)+IF(K44=$T$7,1,0)</f>
        <v/>
      </c>
      <c r="U44" s="331">
        <f>SUM(G44:K44)</f>
        <v/>
      </c>
      <c r="V44" s="332" t="n">
        <v>22.1</v>
      </c>
      <c r="W44" s="333">
        <f>IF(U44-V44&gt;0.1,1,0)</f>
        <v/>
      </c>
      <c r="X44" s="333">
        <f>U44-V44</f>
        <v/>
      </c>
      <c r="Y44" s="334" t="n">
        <v>140</v>
      </c>
      <c r="Z44" s="334" t="n"/>
    </row>
    <row r="45" ht="25.05" customFormat="1" customHeight="1" s="86">
      <c r="A45" s="101" t="n">
        <v>26</v>
      </c>
      <c r="B45" s="309" t="n"/>
      <c r="C45" s="329" t="inlineStr">
        <is>
          <t>JVY420</t>
        </is>
      </c>
      <c r="D45" s="103" t="inlineStr">
        <is>
          <t>M4</t>
        </is>
      </c>
      <c r="E45" s="104" t="inlineStr">
        <is>
          <t>NHÀ XƯỞNG</t>
        </is>
      </c>
      <c r="F45" s="103" t="inlineStr">
        <is>
          <t>D300</t>
        </is>
      </c>
      <c r="G45" s="105" t="n">
        <v>12</v>
      </c>
      <c r="H45" s="330" t="n">
        <v>10</v>
      </c>
      <c r="I45" s="105" t="n"/>
      <c r="J45" s="105" t="n"/>
      <c r="K45" s="105" t="n"/>
      <c r="L45" s="120">
        <f>IF(G45=$L$7,1,0)+IF(H45=$L$7,1,0)+IF(I45=$L$7,1,0)+IF(J45=$L$7,1,0)+IF(K45=$L$7,1,0)</f>
        <v/>
      </c>
      <c r="M45" s="120">
        <f>IF(G45=$M$7,1,0)+IF(H45=$M$7,1,0)+IF(I45=$M$7,1,0)+IF(J45=$M$7,1,0)+IF(K45=$M$7,1,0)</f>
        <v/>
      </c>
      <c r="N45" s="120">
        <f>IF(G45=$N$7,1,0)+IF(H45=$N$7,1,0)+IF(I45=$N$7,1,0)+IF(J45=$N$7,1,0)+IF(K45=$N$7,1,0)</f>
        <v/>
      </c>
      <c r="O45" s="120">
        <f>IF(G45=$O$7,1,0)+IF(H45=$O$7,1,0)+IF(I45=$O$7,1,0)+IF(J45=$O$7,1,0)+IF(K45=$O$7,1,0)</f>
        <v/>
      </c>
      <c r="P45" s="120">
        <f>IF(G45=$P$7,1,0)+IF(H45=$P$7,1,0)+IF(I45=$P$7,1,0)+IF(J45=$P$7,1,0)+IF(K45=$P$7,1,0)</f>
        <v/>
      </c>
      <c r="Q45" s="120">
        <f>IF(G45=$Q$7,1,0)+IF(H45=$Q$7,1,0)+IF(I45=$Q$7,1,0)+IF(J45=$Q$7,1,0)+IF(K45=$Q$7,1,0)</f>
        <v/>
      </c>
      <c r="R45" s="120">
        <f>IF(G45=$R$7,1,0)+IF(H45=$R$7,1,0)+IF(I45=$R$7,1,0)+IF(J45=$R$7,1,0)+IF(K45=$R$7,1,0)</f>
        <v/>
      </c>
      <c r="S45" s="120">
        <f>IF(G45=$S$7,1,0)+IF(H45=$S$7,1,0)+IF(I45=$S$7,1,0)+IF(J45=$S$7,1,0)+IF(K45=$S$7,1,0)</f>
        <v/>
      </c>
      <c r="T45" s="331">
        <f>IF(G45=$T$7,1,0)+IF(H45=$T$7,1,0)+IF(I45=$T$7,1,0)+IF(J45=$T$7,1,0)+IF(K45=$T$7,1,0)</f>
        <v/>
      </c>
      <c r="U45" s="331">
        <f>SUM(G45:K45)</f>
        <v/>
      </c>
      <c r="V45" s="332" t="n">
        <v>22.8</v>
      </c>
      <c r="W45" s="333">
        <f>IF(U45-V45&gt;0.1,1,0)</f>
        <v/>
      </c>
      <c r="X45" s="333">
        <f>U45-V45</f>
        <v/>
      </c>
      <c r="Y45" s="334" t="n">
        <v>140</v>
      </c>
      <c r="Z45" s="334" t="n"/>
    </row>
    <row r="46" ht="25.05" customFormat="1" customHeight="1" s="86">
      <c r="A46" s="101" t="n">
        <v>27</v>
      </c>
      <c r="B46" s="309" t="n"/>
      <c r="C46" s="329" t="inlineStr">
        <is>
          <t>JVY420</t>
        </is>
      </c>
      <c r="D46" s="103" t="inlineStr">
        <is>
          <t>M3</t>
        </is>
      </c>
      <c r="E46" s="104" t="inlineStr">
        <is>
          <t>NHÀ XƯỞNG</t>
        </is>
      </c>
      <c r="F46" s="103" t="inlineStr">
        <is>
          <t>D300</t>
        </is>
      </c>
      <c r="G46" s="105" t="n">
        <v>12</v>
      </c>
      <c r="H46" s="330" t="n">
        <v>10</v>
      </c>
      <c r="I46" s="105" t="n"/>
      <c r="J46" s="105" t="n"/>
      <c r="K46" s="105" t="n"/>
      <c r="L46" s="120">
        <f>IF(G46=$L$7,1,0)+IF(H46=$L$7,1,0)+IF(I46=$L$7,1,0)+IF(J46=$L$7,1,0)+IF(K46=$L$7,1,0)</f>
        <v/>
      </c>
      <c r="M46" s="120">
        <f>IF(G46=$M$7,1,0)+IF(H46=$M$7,1,0)+IF(I46=$M$7,1,0)+IF(J46=$M$7,1,0)+IF(K46=$M$7,1,0)</f>
        <v/>
      </c>
      <c r="N46" s="120">
        <f>IF(G46=$N$7,1,0)+IF(H46=$N$7,1,0)+IF(I46=$N$7,1,0)+IF(J46=$N$7,1,0)+IF(K46=$N$7,1,0)</f>
        <v/>
      </c>
      <c r="O46" s="120">
        <f>IF(G46=$O$7,1,0)+IF(H46=$O$7,1,0)+IF(I46=$O$7,1,0)+IF(J46=$O$7,1,0)+IF(K46=$O$7,1,0)</f>
        <v/>
      </c>
      <c r="P46" s="120">
        <f>IF(G46=$P$7,1,0)+IF(H46=$P$7,1,0)+IF(I46=$P$7,1,0)+IF(J46=$P$7,1,0)+IF(K46=$P$7,1,0)</f>
        <v/>
      </c>
      <c r="Q46" s="120">
        <f>IF(G46=$Q$7,1,0)+IF(H46=$Q$7,1,0)+IF(I46=$Q$7,1,0)+IF(J46=$Q$7,1,0)+IF(K46=$Q$7,1,0)</f>
        <v/>
      </c>
      <c r="R46" s="120">
        <f>IF(G46=$R$7,1,0)+IF(H46=$R$7,1,0)+IF(I46=$R$7,1,0)+IF(J46=$R$7,1,0)+IF(K46=$R$7,1,0)</f>
        <v/>
      </c>
      <c r="S46" s="120">
        <f>IF(G46=$S$7,1,0)+IF(H46=$S$7,1,0)+IF(I46=$S$7,1,0)+IF(J46=$S$7,1,0)+IF(K46=$S$7,1,0)</f>
        <v/>
      </c>
      <c r="T46" s="331">
        <f>IF(G46=$T$7,1,0)+IF(H46=$T$7,1,0)+IF(I46=$T$7,1,0)+IF(J46=$T$7,1,0)+IF(K46=$T$7,1,0)</f>
        <v/>
      </c>
      <c r="U46" s="331">
        <f>SUM(G46:K46)</f>
        <v/>
      </c>
      <c r="V46" s="332" t="n">
        <v>22.2</v>
      </c>
      <c r="W46" s="333">
        <f>IF(U46-V46&gt;0.1,1,0)</f>
        <v/>
      </c>
      <c r="X46" s="333">
        <f>U46-V46</f>
        <v/>
      </c>
      <c r="Y46" s="334" t="n">
        <v>140</v>
      </c>
      <c r="Z46" s="334" t="n"/>
    </row>
    <row r="47" ht="25.05" customFormat="1" customHeight="1" s="86">
      <c r="A47" s="101" t="n">
        <v>28</v>
      </c>
      <c r="B47" s="309" t="n"/>
      <c r="C47" s="329" t="inlineStr">
        <is>
          <t>JVY420</t>
        </is>
      </c>
      <c r="D47" s="103" t="inlineStr">
        <is>
          <t>M2</t>
        </is>
      </c>
      <c r="E47" s="104" t="inlineStr">
        <is>
          <t>NHÀ XƯỞNG</t>
        </is>
      </c>
      <c r="F47" s="103" t="inlineStr">
        <is>
          <t>D300</t>
        </is>
      </c>
      <c r="G47" s="105" t="n">
        <v>12</v>
      </c>
      <c r="H47" s="330" t="n">
        <v>10</v>
      </c>
      <c r="I47" s="105" t="n"/>
      <c r="J47" s="105" t="n"/>
      <c r="K47" s="105" t="n"/>
      <c r="L47" s="120">
        <f>IF(G47=$L$7,1,0)+IF(H47=$L$7,1,0)+IF(I47=$L$7,1,0)+IF(J47=$L$7,1,0)+IF(K47=$L$7,1,0)</f>
        <v/>
      </c>
      <c r="M47" s="120">
        <f>IF(G47=$M$7,1,0)+IF(H47=$M$7,1,0)+IF(I47=$M$7,1,0)+IF(J47=$M$7,1,0)+IF(K47=$M$7,1,0)</f>
        <v/>
      </c>
      <c r="N47" s="120">
        <f>IF(G47=$N$7,1,0)+IF(H47=$N$7,1,0)+IF(I47=$N$7,1,0)+IF(J47=$N$7,1,0)+IF(K47=$N$7,1,0)</f>
        <v/>
      </c>
      <c r="O47" s="120">
        <f>IF(G47=$O$7,1,0)+IF(H47=$O$7,1,0)+IF(I47=$O$7,1,0)+IF(J47=$O$7,1,0)+IF(K47=$O$7,1,0)</f>
        <v/>
      </c>
      <c r="P47" s="120">
        <f>IF(G47=$P$7,1,0)+IF(H47=$P$7,1,0)+IF(I47=$P$7,1,0)+IF(J47=$P$7,1,0)+IF(K47=$P$7,1,0)</f>
        <v/>
      </c>
      <c r="Q47" s="120">
        <f>IF(G47=$Q$7,1,0)+IF(H47=$Q$7,1,0)+IF(I47=$Q$7,1,0)+IF(J47=$Q$7,1,0)+IF(K47=$Q$7,1,0)</f>
        <v/>
      </c>
      <c r="R47" s="120">
        <f>IF(G47=$R$7,1,0)+IF(H47=$R$7,1,0)+IF(I47=$R$7,1,0)+IF(J47=$R$7,1,0)+IF(K47=$R$7,1,0)</f>
        <v/>
      </c>
      <c r="S47" s="120">
        <f>IF(G47=$S$7,1,0)+IF(H47=$S$7,1,0)+IF(I47=$S$7,1,0)+IF(J47=$S$7,1,0)+IF(K47=$S$7,1,0)</f>
        <v/>
      </c>
      <c r="T47" s="331">
        <f>IF(G47=$T$7,1,0)+IF(H47=$T$7,1,0)+IF(I47=$T$7,1,0)+IF(J47=$T$7,1,0)+IF(K47=$T$7,1,0)</f>
        <v/>
      </c>
      <c r="U47" s="331">
        <f>SUM(G47:K47)</f>
        <v/>
      </c>
      <c r="V47" s="332" t="n">
        <v>22.2</v>
      </c>
      <c r="W47" s="333">
        <f>IF(U47-V47&gt;0.1,1,0)</f>
        <v/>
      </c>
      <c r="X47" s="333">
        <f>U47-V47</f>
        <v/>
      </c>
      <c r="Y47" s="334" t="n">
        <v>140</v>
      </c>
      <c r="Z47" s="334" t="n"/>
    </row>
    <row r="48" ht="25.05" customFormat="1" customHeight="1" s="86">
      <c r="A48" s="101" t="n">
        <v>29</v>
      </c>
      <c r="B48" s="309" t="n"/>
      <c r="C48" s="329" t="inlineStr">
        <is>
          <t>JVY420</t>
        </is>
      </c>
      <c r="D48" s="103" t="inlineStr">
        <is>
          <t>M1</t>
        </is>
      </c>
      <c r="E48" s="104" t="inlineStr">
        <is>
          <t>NHÀ XƯỞNG</t>
        </is>
      </c>
      <c r="F48" s="103" t="inlineStr">
        <is>
          <t>D300</t>
        </is>
      </c>
      <c r="G48" s="105" t="n">
        <v>12</v>
      </c>
      <c r="H48" s="330" t="n">
        <v>10</v>
      </c>
      <c r="I48" s="105" t="n"/>
      <c r="J48" s="105" t="n"/>
      <c r="K48" s="105" t="n"/>
      <c r="L48" s="120">
        <f>IF(G48=$L$7,1,0)+IF(H48=$L$7,1,0)+IF(I48=$L$7,1,0)+IF(J48=$L$7,1,0)+IF(K48=$L$7,1,0)</f>
        <v/>
      </c>
      <c r="M48" s="120">
        <f>IF(G48=$M$7,1,0)+IF(H48=$M$7,1,0)+IF(I48=$M$7,1,0)+IF(J48=$M$7,1,0)+IF(K48=$M$7,1,0)</f>
        <v/>
      </c>
      <c r="N48" s="120">
        <f>IF(G48=$N$7,1,0)+IF(H48=$N$7,1,0)+IF(I48=$N$7,1,0)+IF(J48=$N$7,1,0)+IF(K48=$N$7,1,0)</f>
        <v/>
      </c>
      <c r="O48" s="120">
        <f>IF(G48=$O$7,1,0)+IF(H48=$O$7,1,0)+IF(I48=$O$7,1,0)+IF(J48=$O$7,1,0)+IF(K48=$O$7,1,0)</f>
        <v/>
      </c>
      <c r="P48" s="120">
        <f>IF(G48=$P$7,1,0)+IF(H48=$P$7,1,0)+IF(I48=$P$7,1,0)+IF(J48=$P$7,1,0)+IF(K48=$P$7,1,0)</f>
        <v/>
      </c>
      <c r="Q48" s="120">
        <f>IF(G48=$Q$7,1,0)+IF(H48=$Q$7,1,0)+IF(I48=$Q$7,1,0)+IF(J48=$Q$7,1,0)+IF(K48=$Q$7,1,0)</f>
        <v/>
      </c>
      <c r="R48" s="120">
        <f>IF(G48=$R$7,1,0)+IF(H48=$R$7,1,0)+IF(I48=$R$7,1,0)+IF(J48=$R$7,1,0)+IF(K48=$R$7,1,0)</f>
        <v/>
      </c>
      <c r="S48" s="120">
        <f>IF(G48=$S$7,1,0)+IF(H48=$S$7,1,0)+IF(I48=$S$7,1,0)+IF(J48=$S$7,1,0)+IF(K48=$S$7,1,0)</f>
        <v/>
      </c>
      <c r="T48" s="331">
        <f>IF(G48=$T$7,1,0)+IF(H48=$T$7,1,0)+IF(I48=$T$7,1,0)+IF(J48=$T$7,1,0)+IF(K48=$T$7,1,0)</f>
        <v/>
      </c>
      <c r="U48" s="331">
        <f>SUM(G48:K48)</f>
        <v/>
      </c>
      <c r="V48" s="332" t="n">
        <v>22.1</v>
      </c>
      <c r="W48" s="333">
        <f>IF(U48-V48&gt;0.1,1,0)</f>
        <v/>
      </c>
      <c r="X48" s="333">
        <f>U48-V48</f>
        <v/>
      </c>
      <c r="Y48" s="334" t="n">
        <v>140</v>
      </c>
      <c r="Z48" s="334" t="n"/>
    </row>
    <row r="49" ht="25.05" customFormat="1" customHeight="1" s="86">
      <c r="A49" s="101" t="n">
        <v>30</v>
      </c>
      <c r="B49" s="309" t="n"/>
      <c r="C49" s="329" t="inlineStr">
        <is>
          <t>JVY420</t>
        </is>
      </c>
      <c r="D49" s="103" t="inlineStr">
        <is>
          <t>K2</t>
        </is>
      </c>
      <c r="E49" s="104" t="inlineStr">
        <is>
          <t>NHÀ XƯỞNG</t>
        </is>
      </c>
      <c r="F49" s="103" t="inlineStr">
        <is>
          <t>D300</t>
        </is>
      </c>
      <c r="G49" s="105" t="n">
        <v>12</v>
      </c>
      <c r="H49" s="330" t="n">
        <v>12</v>
      </c>
      <c r="I49" s="105" t="n"/>
      <c r="J49" s="105" t="n"/>
      <c r="K49" s="105" t="n"/>
      <c r="L49" s="120">
        <f>IF(G49=$L$7,1,0)+IF(H49=$L$7,1,0)+IF(I49=$L$7,1,0)+IF(J49=$L$7,1,0)+IF(K49=$L$7,1,0)</f>
        <v/>
      </c>
      <c r="M49" s="120">
        <f>IF(G49=$M$7,1,0)+IF(H49=$M$7,1,0)+IF(I49=$M$7,1,0)+IF(J49=$M$7,1,0)+IF(K49=$M$7,1,0)</f>
        <v/>
      </c>
      <c r="N49" s="120">
        <f>IF(G49=$N$7,1,0)+IF(H49=$N$7,1,0)+IF(I49=$N$7,1,0)+IF(J49=$N$7,1,0)+IF(K49=$N$7,1,0)</f>
        <v/>
      </c>
      <c r="O49" s="120">
        <f>IF(G49=$O$7,1,0)+IF(H49=$O$7,1,0)+IF(I49=$O$7,1,0)+IF(J49=$O$7,1,0)+IF(K49=$O$7,1,0)</f>
        <v/>
      </c>
      <c r="P49" s="120">
        <f>IF(G49=$P$7,1,0)+IF(H49=$P$7,1,0)+IF(I49=$P$7,1,0)+IF(J49=$P$7,1,0)+IF(K49=$P$7,1,0)</f>
        <v/>
      </c>
      <c r="Q49" s="120">
        <f>IF(G49=$Q$7,1,0)+IF(H49=$Q$7,1,0)+IF(I49=$Q$7,1,0)+IF(J49=$Q$7,1,0)+IF(K49=$Q$7,1,0)</f>
        <v/>
      </c>
      <c r="R49" s="120">
        <f>IF(G49=$R$7,1,0)+IF(H49=$R$7,1,0)+IF(I49=$R$7,1,0)+IF(J49=$R$7,1,0)+IF(K49=$R$7,1,0)</f>
        <v/>
      </c>
      <c r="S49" s="120">
        <f>IF(G49=$S$7,1,0)+IF(H49=$S$7,1,0)+IF(I49=$S$7,1,0)+IF(J49=$S$7,1,0)+IF(K49=$S$7,1,0)</f>
        <v/>
      </c>
      <c r="T49" s="331">
        <f>IF(G49=$T$7,1,0)+IF(H49=$T$7,1,0)+IF(I49=$T$7,1,0)+IF(J49=$T$7,1,0)+IF(K49=$T$7,1,0)</f>
        <v/>
      </c>
      <c r="U49" s="331">
        <f>SUM(G49:K49)</f>
        <v/>
      </c>
      <c r="V49" s="332" t="n">
        <v>24.1</v>
      </c>
      <c r="W49" s="333">
        <f>IF(U49-V49&gt;0.1,1,0)</f>
        <v/>
      </c>
      <c r="X49" s="333">
        <f>U49-V49</f>
        <v/>
      </c>
      <c r="Y49" s="334" t="n">
        <v>140</v>
      </c>
      <c r="Z49" s="334" t="n"/>
    </row>
    <row r="50" ht="25.05" customFormat="1" customHeight="1" s="86">
      <c r="A50" s="101" t="n">
        <v>31</v>
      </c>
      <c r="B50" s="309" t="n"/>
      <c r="C50" s="329" t="inlineStr">
        <is>
          <t>JVY420</t>
        </is>
      </c>
      <c r="D50" s="103" t="inlineStr">
        <is>
          <t>K1</t>
        </is>
      </c>
      <c r="E50" s="104" t="inlineStr">
        <is>
          <t>NHÀ XƯỞNG</t>
        </is>
      </c>
      <c r="F50" s="103" t="inlineStr">
        <is>
          <t>D300</t>
        </is>
      </c>
      <c r="G50" s="105" t="n">
        <v>12</v>
      </c>
      <c r="H50" s="330" t="n">
        <v>12</v>
      </c>
      <c r="I50" s="105" t="n"/>
      <c r="J50" s="105" t="n"/>
      <c r="K50" s="105" t="n"/>
      <c r="L50" s="120">
        <f>IF(G50=$L$7,1,0)+IF(H50=$L$7,1,0)+IF(I50=$L$7,1,0)+IF(J50=$L$7,1,0)+IF(K50=$L$7,1,0)</f>
        <v/>
      </c>
      <c r="M50" s="120">
        <f>IF(G50=$M$7,1,0)+IF(H50=$M$7,1,0)+IF(I50=$M$7,1,0)+IF(J50=$M$7,1,0)+IF(K50=$M$7,1,0)</f>
        <v/>
      </c>
      <c r="N50" s="120">
        <f>IF(G50=$N$7,1,0)+IF(H50=$N$7,1,0)+IF(I50=$N$7,1,0)+IF(J50=$N$7,1,0)+IF(K50=$N$7,1,0)</f>
        <v/>
      </c>
      <c r="O50" s="120">
        <f>IF(G50=$O$7,1,0)+IF(H50=$O$7,1,0)+IF(I50=$O$7,1,0)+IF(J50=$O$7,1,0)+IF(K50=$O$7,1,0)</f>
        <v/>
      </c>
      <c r="P50" s="120">
        <f>IF(G50=$P$7,1,0)+IF(H50=$P$7,1,0)+IF(I50=$P$7,1,0)+IF(J50=$P$7,1,0)+IF(K50=$P$7,1,0)</f>
        <v/>
      </c>
      <c r="Q50" s="120">
        <f>IF(G50=$Q$7,1,0)+IF(H50=$Q$7,1,0)+IF(I50=$Q$7,1,0)+IF(J50=$Q$7,1,0)+IF(K50=$Q$7,1,0)</f>
        <v/>
      </c>
      <c r="R50" s="120">
        <f>IF(G50=$R$7,1,0)+IF(H50=$R$7,1,0)+IF(I50=$R$7,1,0)+IF(J50=$R$7,1,0)+IF(K50=$R$7,1,0)</f>
        <v/>
      </c>
      <c r="S50" s="120">
        <f>IF(G50=$S$7,1,0)+IF(H50=$S$7,1,0)+IF(I50=$S$7,1,0)+IF(J50=$S$7,1,0)+IF(K50=$S$7,1,0)</f>
        <v/>
      </c>
      <c r="T50" s="331">
        <f>IF(G50=$T$7,1,0)+IF(H50=$T$7,1,0)+IF(I50=$T$7,1,0)+IF(J50=$T$7,1,0)+IF(K50=$T$7,1,0)</f>
        <v/>
      </c>
      <c r="U50" s="331">
        <f>SUM(G50:K50)</f>
        <v/>
      </c>
      <c r="V50" s="332" t="n">
        <v>24.1</v>
      </c>
      <c r="W50" s="333">
        <f>IF(U50-V50&gt;0.1,1,0)</f>
        <v/>
      </c>
      <c r="X50" s="333">
        <f>U50-V50</f>
        <v/>
      </c>
      <c r="Y50" s="334" t="n">
        <v>140</v>
      </c>
      <c r="Z50" s="334" t="n"/>
    </row>
    <row r="51" ht="25.05" customFormat="1" customHeight="1" s="86">
      <c r="A51" s="101" t="n">
        <v>32</v>
      </c>
      <c r="B51" s="309" t="n"/>
      <c r="C51" s="329" t="inlineStr">
        <is>
          <t>JVY420</t>
        </is>
      </c>
      <c r="D51" s="103" t="inlineStr">
        <is>
          <t>K125</t>
        </is>
      </c>
      <c r="E51" s="104" t="inlineStr">
        <is>
          <t>NHÀ XƯỞNG</t>
        </is>
      </c>
      <c r="F51" s="103" t="inlineStr">
        <is>
          <t>D300</t>
        </is>
      </c>
      <c r="G51" s="105" t="n">
        <v>12</v>
      </c>
      <c r="H51" s="330" t="n">
        <v>12</v>
      </c>
      <c r="I51" s="105" t="n"/>
      <c r="J51" s="105" t="n"/>
      <c r="K51" s="105" t="n"/>
      <c r="L51" s="120">
        <f>IF(G51=$L$7,1,0)+IF(H51=$L$7,1,0)+IF(I51=$L$7,1,0)+IF(J51=$L$7,1,0)+IF(K51=$L$7,1,0)</f>
        <v/>
      </c>
      <c r="M51" s="120">
        <f>IF(G51=$M$7,1,0)+IF(H51=$M$7,1,0)+IF(I51=$M$7,1,0)+IF(J51=$M$7,1,0)+IF(K51=$M$7,1,0)</f>
        <v/>
      </c>
      <c r="N51" s="120">
        <f>IF(G51=$N$7,1,0)+IF(H51=$N$7,1,0)+IF(I51=$N$7,1,0)+IF(J51=$N$7,1,0)+IF(K51=$N$7,1,0)</f>
        <v/>
      </c>
      <c r="O51" s="120">
        <f>IF(G51=$O$7,1,0)+IF(H51=$O$7,1,0)+IF(I51=$O$7,1,0)+IF(J51=$O$7,1,0)+IF(K51=$O$7,1,0)</f>
        <v/>
      </c>
      <c r="P51" s="120">
        <f>IF(G51=$P$7,1,0)+IF(H51=$P$7,1,0)+IF(I51=$P$7,1,0)+IF(J51=$P$7,1,0)+IF(K51=$P$7,1,0)</f>
        <v/>
      </c>
      <c r="Q51" s="120">
        <f>IF(G51=$Q$7,1,0)+IF(H51=$Q$7,1,0)+IF(I51=$Q$7,1,0)+IF(J51=$Q$7,1,0)+IF(K51=$Q$7,1,0)</f>
        <v/>
      </c>
      <c r="R51" s="120">
        <f>IF(G51=$R$7,1,0)+IF(H51=$R$7,1,0)+IF(I51=$R$7,1,0)+IF(J51=$R$7,1,0)+IF(K51=$R$7,1,0)</f>
        <v/>
      </c>
      <c r="S51" s="120">
        <f>IF(G51=$S$7,1,0)+IF(H51=$S$7,1,0)+IF(I51=$S$7,1,0)+IF(J51=$S$7,1,0)+IF(K51=$S$7,1,0)</f>
        <v/>
      </c>
      <c r="T51" s="331">
        <f>IF(G51=$T$7,1,0)+IF(H51=$T$7,1,0)+IF(I51=$T$7,1,0)+IF(J51=$T$7,1,0)+IF(K51=$T$7,1,0)</f>
        <v/>
      </c>
      <c r="U51" s="331">
        <f>SUM(G51:K51)</f>
        <v/>
      </c>
      <c r="V51" s="332" t="n">
        <v>15</v>
      </c>
      <c r="W51" s="333">
        <f>IF(U51-V51&gt;0.1,1,0)</f>
        <v/>
      </c>
      <c r="X51" s="333">
        <f>U51-V51</f>
        <v/>
      </c>
      <c r="Y51" s="334" t="n">
        <v>90</v>
      </c>
      <c r="Z51" s="334" t="n"/>
    </row>
    <row r="52" ht="25.05" customFormat="1" customHeight="1" s="86">
      <c r="A52" s="101" t="n">
        <v>33</v>
      </c>
      <c r="B52" s="309" t="n"/>
      <c r="C52" s="329" t="inlineStr">
        <is>
          <t>JVY420</t>
        </is>
      </c>
      <c r="D52" s="103" t="inlineStr">
        <is>
          <t>K125A</t>
        </is>
      </c>
      <c r="E52" s="104" t="inlineStr">
        <is>
          <t>NHÀ XƯỞNG</t>
        </is>
      </c>
      <c r="F52" s="103" t="inlineStr">
        <is>
          <t>D300</t>
        </is>
      </c>
      <c r="G52" s="105" t="n">
        <v>12</v>
      </c>
      <c r="H52" s="330" t="n">
        <v>12</v>
      </c>
      <c r="I52" s="105" t="n"/>
      <c r="J52" s="105" t="n"/>
      <c r="K52" s="105" t="n"/>
      <c r="L52" s="120">
        <f>IF(G52=$L$7,1,0)+IF(H52=$L$7,1,0)+IF(I52=$L$7,1,0)+IF(J52=$L$7,1,0)+IF(K52=$L$7,1,0)</f>
        <v/>
      </c>
      <c r="M52" s="120">
        <f>IF(G52=$M$7,1,0)+IF(H52=$M$7,1,0)+IF(I52=$M$7,1,0)+IF(J52=$M$7,1,0)+IF(K52=$M$7,1,0)</f>
        <v/>
      </c>
      <c r="N52" s="120">
        <f>IF(G52=$N$7,1,0)+IF(H52=$N$7,1,0)+IF(I52=$N$7,1,0)+IF(J52=$N$7,1,0)+IF(K52=$N$7,1,0)</f>
        <v/>
      </c>
      <c r="O52" s="120">
        <f>IF(G52=$O$7,1,0)+IF(H52=$O$7,1,0)+IF(I52=$O$7,1,0)+IF(J52=$O$7,1,0)+IF(K52=$O$7,1,0)</f>
        <v/>
      </c>
      <c r="P52" s="120">
        <f>IF(G52=$P$7,1,0)+IF(H52=$P$7,1,0)+IF(I52=$P$7,1,0)+IF(J52=$P$7,1,0)+IF(K52=$P$7,1,0)</f>
        <v/>
      </c>
      <c r="Q52" s="120">
        <f>IF(G52=$Q$7,1,0)+IF(H52=$Q$7,1,0)+IF(I52=$Q$7,1,0)+IF(J52=$Q$7,1,0)+IF(K52=$Q$7,1,0)</f>
        <v/>
      </c>
      <c r="R52" s="120">
        <f>IF(G52=$R$7,1,0)+IF(H52=$R$7,1,0)+IF(I52=$R$7,1,0)+IF(J52=$R$7,1,0)+IF(K52=$R$7,1,0)</f>
        <v/>
      </c>
      <c r="S52" s="120">
        <f>IF(G52=$S$7,1,0)+IF(H52=$S$7,1,0)+IF(I52=$S$7,1,0)+IF(J52=$S$7,1,0)+IF(K52=$S$7,1,0)</f>
        <v/>
      </c>
      <c r="T52" s="331">
        <f>IF(G52=$T$7,1,0)+IF(H52=$T$7,1,0)+IF(I52=$T$7,1,0)+IF(J52=$T$7,1,0)+IF(K52=$T$7,1,0)</f>
        <v/>
      </c>
      <c r="U52" s="331">
        <f>SUM(G52:K52)</f>
        <v/>
      </c>
      <c r="V52" s="332" t="n">
        <v>24.1</v>
      </c>
      <c r="W52" s="333">
        <f>IF(U52-V52&gt;0.1,1,0)</f>
        <v/>
      </c>
      <c r="X52" s="333">
        <f>U52-V52</f>
        <v/>
      </c>
      <c r="Y52" s="334" t="n">
        <v>140</v>
      </c>
      <c r="Z52" s="334" t="n"/>
    </row>
    <row r="53" ht="25.05" customFormat="1" customHeight="1" s="86">
      <c r="A53" s="101" t="n">
        <v>34</v>
      </c>
      <c r="B53" s="309" t="n"/>
      <c r="C53" s="329" t="inlineStr">
        <is>
          <t>JVY420</t>
        </is>
      </c>
      <c r="D53" s="103" t="inlineStr">
        <is>
          <t>K126</t>
        </is>
      </c>
      <c r="E53" s="104" t="inlineStr">
        <is>
          <t>NHÀ XƯỞNG</t>
        </is>
      </c>
      <c r="F53" s="103" t="inlineStr">
        <is>
          <t>D300</t>
        </is>
      </c>
      <c r="G53" s="105" t="n">
        <v>12</v>
      </c>
      <c r="H53" s="330" t="n">
        <v>12</v>
      </c>
      <c r="I53" s="105" t="n"/>
      <c r="J53" s="105" t="n"/>
      <c r="K53" s="105" t="n"/>
      <c r="L53" s="120">
        <f>IF(G53=$L$7,1,0)+IF(H53=$L$7,1,0)+IF(I53=$L$7,1,0)+IF(J53=$L$7,1,0)+IF(K53=$L$7,1,0)</f>
        <v/>
      </c>
      <c r="M53" s="120">
        <f>IF(G53=$M$7,1,0)+IF(H53=$M$7,1,0)+IF(I53=$M$7,1,0)+IF(J53=$M$7,1,0)+IF(K53=$M$7,1,0)</f>
        <v/>
      </c>
      <c r="N53" s="120">
        <f>IF(G53=$N$7,1,0)+IF(H53=$N$7,1,0)+IF(I53=$N$7,1,0)+IF(J53=$N$7,1,0)+IF(K53=$N$7,1,0)</f>
        <v/>
      </c>
      <c r="O53" s="120">
        <f>IF(G53=$O$7,1,0)+IF(H53=$O$7,1,0)+IF(I53=$O$7,1,0)+IF(J53=$O$7,1,0)+IF(K53=$O$7,1,0)</f>
        <v/>
      </c>
      <c r="P53" s="120">
        <f>IF(G53=$P$7,1,0)+IF(H53=$P$7,1,0)+IF(I53=$P$7,1,0)+IF(J53=$P$7,1,0)+IF(K53=$P$7,1,0)</f>
        <v/>
      </c>
      <c r="Q53" s="120">
        <f>IF(G53=$Q$7,1,0)+IF(H53=$Q$7,1,0)+IF(I53=$Q$7,1,0)+IF(J53=$Q$7,1,0)+IF(K53=$Q$7,1,0)</f>
        <v/>
      </c>
      <c r="R53" s="120">
        <f>IF(G53=$R$7,1,0)+IF(H53=$R$7,1,0)+IF(I53=$R$7,1,0)+IF(J53=$R$7,1,0)+IF(K53=$R$7,1,0)</f>
        <v/>
      </c>
      <c r="S53" s="120">
        <f>IF(G53=$S$7,1,0)+IF(H53=$S$7,1,0)+IF(I53=$S$7,1,0)+IF(J53=$S$7,1,0)+IF(K53=$S$7,1,0)</f>
        <v/>
      </c>
      <c r="T53" s="331">
        <f>IF(G53=$T$7,1,0)+IF(H53=$T$7,1,0)+IF(I53=$T$7,1,0)+IF(J53=$T$7,1,0)+IF(K53=$T$7,1,0)</f>
        <v/>
      </c>
      <c r="U53" s="331">
        <f>SUM(G53:K53)</f>
        <v/>
      </c>
      <c r="V53" s="332" t="n">
        <v>24.1</v>
      </c>
      <c r="W53" s="333">
        <f>IF(U53-V53&gt;0.1,1,0)</f>
        <v/>
      </c>
      <c r="X53" s="333">
        <f>U53-V53</f>
        <v/>
      </c>
      <c r="Y53" s="334" t="n">
        <v>140</v>
      </c>
      <c r="Z53" s="334" t="n"/>
    </row>
    <row r="54" ht="25.05" customFormat="1" customHeight="1" s="86">
      <c r="A54" s="101" t="n">
        <v>35</v>
      </c>
      <c r="B54" s="309" t="n"/>
      <c r="C54" s="329" t="inlineStr">
        <is>
          <t>JVY420</t>
        </is>
      </c>
      <c r="D54" s="103" t="inlineStr">
        <is>
          <t>K127</t>
        </is>
      </c>
      <c r="E54" s="104" t="inlineStr">
        <is>
          <t>NHÀ XƯỞNG</t>
        </is>
      </c>
      <c r="F54" s="103" t="inlineStr">
        <is>
          <t>D300</t>
        </is>
      </c>
      <c r="G54" s="105" t="n">
        <v>12</v>
      </c>
      <c r="H54" s="330" t="n">
        <v>12</v>
      </c>
      <c r="I54" s="105" t="n"/>
      <c r="J54" s="105" t="n"/>
      <c r="K54" s="105" t="n"/>
      <c r="L54" s="120">
        <f>IF(G54=$L$7,1,0)+IF(H54=$L$7,1,0)+IF(I54=$L$7,1,0)+IF(J54=$L$7,1,0)+IF(K54=$L$7,1,0)</f>
        <v/>
      </c>
      <c r="M54" s="120">
        <f>IF(G54=$M$7,1,0)+IF(H54=$M$7,1,0)+IF(I54=$M$7,1,0)+IF(J54=$M$7,1,0)+IF(K54=$M$7,1,0)</f>
        <v/>
      </c>
      <c r="N54" s="120">
        <f>IF(G54=$N$7,1,0)+IF(H54=$N$7,1,0)+IF(I54=$N$7,1,0)+IF(J54=$N$7,1,0)+IF(K54=$N$7,1,0)</f>
        <v/>
      </c>
      <c r="O54" s="120">
        <f>IF(G54=$O$7,1,0)+IF(H54=$O$7,1,0)+IF(I54=$O$7,1,0)+IF(J54=$O$7,1,0)+IF(K54=$O$7,1,0)</f>
        <v/>
      </c>
      <c r="P54" s="120">
        <f>IF(G54=$P$7,1,0)+IF(H54=$P$7,1,0)+IF(I54=$P$7,1,0)+IF(J54=$P$7,1,0)+IF(K54=$P$7,1,0)</f>
        <v/>
      </c>
      <c r="Q54" s="120">
        <f>IF(G54=$Q$7,1,0)+IF(H54=$Q$7,1,0)+IF(I54=$Q$7,1,0)+IF(J54=$Q$7,1,0)+IF(K54=$Q$7,1,0)</f>
        <v/>
      </c>
      <c r="R54" s="120">
        <f>IF(G54=$R$7,1,0)+IF(H54=$R$7,1,0)+IF(I54=$R$7,1,0)+IF(J54=$R$7,1,0)+IF(K54=$R$7,1,0)</f>
        <v/>
      </c>
      <c r="S54" s="120">
        <f>IF(G54=$S$7,1,0)+IF(H54=$S$7,1,0)+IF(I54=$S$7,1,0)+IF(J54=$S$7,1,0)+IF(K54=$S$7,1,0)</f>
        <v/>
      </c>
      <c r="T54" s="331">
        <f>IF(G54=$T$7,1,0)+IF(H54=$T$7,1,0)+IF(I54=$T$7,1,0)+IF(J54=$T$7,1,0)+IF(K54=$T$7,1,0)</f>
        <v/>
      </c>
      <c r="U54" s="331">
        <f>SUM(G54:K54)</f>
        <v/>
      </c>
      <c r="V54" s="332" t="n">
        <v>24.1</v>
      </c>
      <c r="W54" s="333">
        <f>IF(U54-V54&gt;0.1,1,0)</f>
        <v/>
      </c>
      <c r="X54" s="333">
        <f>U54-V54</f>
        <v/>
      </c>
      <c r="Y54" s="334" t="n">
        <v>140</v>
      </c>
      <c r="Z54" s="334" t="n"/>
    </row>
    <row r="55" ht="25.05" customFormat="1" customHeight="1" s="86">
      <c r="A55" s="101" t="n">
        <v>36</v>
      </c>
      <c r="B55" s="309" t="n"/>
      <c r="C55" s="329" t="inlineStr">
        <is>
          <t>JVY420</t>
        </is>
      </c>
      <c r="D55" s="103" t="inlineStr">
        <is>
          <t>K334</t>
        </is>
      </c>
      <c r="E55" s="104" t="inlineStr">
        <is>
          <t>NHÀ XƯỞNG</t>
        </is>
      </c>
      <c r="F55" s="103" t="inlineStr">
        <is>
          <t>D300</t>
        </is>
      </c>
      <c r="G55" s="105" t="n">
        <v>12</v>
      </c>
      <c r="H55" s="330" t="n">
        <v>12</v>
      </c>
      <c r="I55" s="105" t="n"/>
      <c r="J55" s="105" t="n"/>
      <c r="K55" s="105" t="n"/>
      <c r="L55" s="120">
        <f>IF(G55=$L$7,1,0)+IF(H55=$L$7,1,0)+IF(I55=$L$7,1,0)+IF(J55=$L$7,1,0)+IF(K55=$L$7,1,0)</f>
        <v/>
      </c>
      <c r="M55" s="120">
        <f>IF(G55=$M$7,1,0)+IF(H55=$M$7,1,0)+IF(I55=$M$7,1,0)+IF(J55=$M$7,1,0)+IF(K55=$M$7,1,0)</f>
        <v/>
      </c>
      <c r="N55" s="120">
        <f>IF(G55=$N$7,1,0)+IF(H55=$N$7,1,0)+IF(I55=$N$7,1,0)+IF(J55=$N$7,1,0)+IF(K55=$N$7,1,0)</f>
        <v/>
      </c>
      <c r="O55" s="120">
        <f>IF(G55=$O$7,1,0)+IF(H55=$O$7,1,0)+IF(I55=$O$7,1,0)+IF(J55=$O$7,1,0)+IF(K55=$O$7,1,0)</f>
        <v/>
      </c>
      <c r="P55" s="120">
        <f>IF(G55=$P$7,1,0)+IF(H55=$P$7,1,0)+IF(I55=$P$7,1,0)+IF(J55=$P$7,1,0)+IF(K55=$P$7,1,0)</f>
        <v/>
      </c>
      <c r="Q55" s="120">
        <f>IF(G55=$Q$7,1,0)+IF(H55=$Q$7,1,0)+IF(I55=$Q$7,1,0)+IF(J55=$Q$7,1,0)+IF(K55=$Q$7,1,0)</f>
        <v/>
      </c>
      <c r="R55" s="120">
        <f>IF(G55=$R$7,1,0)+IF(H55=$R$7,1,0)+IF(I55=$R$7,1,0)+IF(J55=$R$7,1,0)+IF(K55=$R$7,1,0)</f>
        <v/>
      </c>
      <c r="S55" s="120">
        <f>IF(G55=$S$7,1,0)+IF(H55=$S$7,1,0)+IF(I55=$S$7,1,0)+IF(J55=$S$7,1,0)+IF(K55=$S$7,1,0)</f>
        <v/>
      </c>
      <c r="T55" s="331">
        <f>IF(G55=$T$7,1,0)+IF(H55=$T$7,1,0)+IF(I55=$T$7,1,0)+IF(J55=$T$7,1,0)+IF(K55=$T$7,1,0)</f>
        <v/>
      </c>
      <c r="U55" s="331">
        <f>SUM(G55:K55)</f>
        <v/>
      </c>
      <c r="V55" s="332" t="n">
        <v>24.05</v>
      </c>
      <c r="W55" s="333">
        <f>IF(U55-V55&gt;0.1,1,0)</f>
        <v/>
      </c>
      <c r="X55" s="333">
        <f>U55-V55</f>
        <v/>
      </c>
      <c r="Y55" s="334" t="n">
        <v>140</v>
      </c>
      <c r="Z55" s="334" t="n"/>
    </row>
    <row r="56" ht="25.05" customFormat="1" customHeight="1" s="86">
      <c r="A56" s="101" t="n">
        <v>37</v>
      </c>
      <c r="B56" s="335" t="n"/>
      <c r="C56" s="329" t="inlineStr">
        <is>
          <t>JVY420</t>
        </is>
      </c>
      <c r="D56" s="103" t="inlineStr">
        <is>
          <t>K335</t>
        </is>
      </c>
      <c r="E56" s="104" t="inlineStr">
        <is>
          <t>NHÀ XƯỞNG</t>
        </is>
      </c>
      <c r="F56" s="103" t="inlineStr">
        <is>
          <t>D300</t>
        </is>
      </c>
      <c r="G56" s="105" t="n">
        <v>12</v>
      </c>
      <c r="H56" s="330" t="n">
        <v>12</v>
      </c>
      <c r="I56" s="105" t="n"/>
      <c r="J56" s="105" t="n"/>
      <c r="K56" s="105" t="n"/>
      <c r="L56" s="120">
        <f>IF(G56=$L$7,1,0)+IF(H56=$L$7,1,0)+IF(I56=$L$7,1,0)+IF(J56=$L$7,1,0)+IF(K56=$L$7,1,0)</f>
        <v/>
      </c>
      <c r="M56" s="120">
        <f>IF(G56=$M$7,1,0)+IF(H56=$M$7,1,0)+IF(I56=$M$7,1,0)+IF(J56=$M$7,1,0)+IF(K56=$M$7,1,0)</f>
        <v/>
      </c>
      <c r="N56" s="120">
        <f>IF(G56=$N$7,1,0)+IF(H56=$N$7,1,0)+IF(I56=$N$7,1,0)+IF(J56=$N$7,1,0)+IF(K56=$N$7,1,0)</f>
        <v/>
      </c>
      <c r="O56" s="120">
        <f>IF(G56=$O$7,1,0)+IF(H56=$O$7,1,0)+IF(I56=$O$7,1,0)+IF(J56=$O$7,1,0)+IF(K56=$O$7,1,0)</f>
        <v/>
      </c>
      <c r="P56" s="120">
        <f>IF(G56=$P$7,1,0)+IF(H56=$P$7,1,0)+IF(I56=$P$7,1,0)+IF(J56=$P$7,1,0)+IF(K56=$P$7,1,0)</f>
        <v/>
      </c>
      <c r="Q56" s="120">
        <f>IF(G56=$Q$7,1,0)+IF(H56=$Q$7,1,0)+IF(I56=$Q$7,1,0)+IF(J56=$Q$7,1,0)+IF(K56=$Q$7,1,0)</f>
        <v/>
      </c>
      <c r="R56" s="120">
        <f>IF(G56=$R$7,1,0)+IF(H56=$R$7,1,0)+IF(I56=$R$7,1,0)+IF(J56=$R$7,1,0)+IF(K56=$R$7,1,0)</f>
        <v/>
      </c>
      <c r="S56" s="120">
        <f>IF(G56=$S$7,1,0)+IF(H56=$S$7,1,0)+IF(I56=$S$7,1,0)+IF(J56=$S$7,1,0)+IF(K56=$S$7,1,0)</f>
        <v/>
      </c>
      <c r="T56" s="331">
        <f>IF(G56=$T$7,1,0)+IF(H56=$T$7,1,0)+IF(I56=$T$7,1,0)+IF(J56=$T$7,1,0)+IF(K56=$T$7,1,0)</f>
        <v/>
      </c>
      <c r="U56" s="331">
        <f>SUM(G56:K56)</f>
        <v/>
      </c>
      <c r="V56" s="332" t="n">
        <v>24.1</v>
      </c>
      <c r="W56" s="333">
        <f>IF(U56-V56&gt;0.1,1,0)</f>
        <v/>
      </c>
      <c r="X56" s="333">
        <f>U56-V56</f>
        <v/>
      </c>
      <c r="Y56" s="334" t="n">
        <v>140</v>
      </c>
      <c r="Z56" s="334" t="n"/>
    </row>
    <row r="57" ht="25.05" customFormat="1" customHeight="1" s="86">
      <c r="A57" s="101" t="n"/>
      <c r="B57" s="209" t="n"/>
      <c r="C57" s="329" t="n"/>
      <c r="D57" s="103" t="n"/>
      <c r="E57" s="104" t="n"/>
      <c r="F57" s="103" t="n"/>
      <c r="G57" s="105" t="n"/>
      <c r="H57" s="330" t="n"/>
      <c r="I57" s="105" t="n"/>
      <c r="J57" s="105" t="n"/>
      <c r="K57" s="105" t="n"/>
      <c r="L57" s="120">
        <f>IF(G57=$L$7,1,0)+IF(H57=$L$7,1,0)+IF(I57=$L$7,1,0)+IF(J57=$L$7,1,0)+IF(K57=$L$7,1,0)</f>
        <v/>
      </c>
      <c r="M57" s="120">
        <f>IF(G57=$M$7,1,0)+IF(H57=$M$7,1,0)+IF(I57=$M$7,1,0)+IF(J57=$M$7,1,0)+IF(K57=$M$7,1,0)</f>
        <v/>
      </c>
      <c r="N57" s="120">
        <f>IF(G57=$N$7,1,0)+IF(H57=$N$7,1,0)+IF(I57=$N$7,1,0)+IF(J57=$N$7,1,0)+IF(K57=$N$7,1,0)</f>
        <v/>
      </c>
      <c r="O57" s="120">
        <f>IF(G57=$O$7,1,0)+IF(H57=$O$7,1,0)+IF(I57=$O$7,1,0)+IF(J57=$O$7,1,0)+IF(K57=$O$7,1,0)</f>
        <v/>
      </c>
      <c r="P57" s="120">
        <f>IF(G57=$P$7,1,0)+IF(H57=$P$7,1,0)+IF(I57=$P$7,1,0)+IF(J57=$P$7,1,0)+IF(K57=$P$7,1,0)</f>
        <v/>
      </c>
      <c r="Q57" s="120">
        <f>IF(G57=$Q$7,1,0)+IF(H57=$Q$7,1,0)+IF(I57=$Q$7,1,0)+IF(J57=$Q$7,1,0)+IF(K57=$Q$7,1,0)</f>
        <v/>
      </c>
      <c r="R57" s="120">
        <f>IF(G57=$R$7,1,0)+IF(H57=$R$7,1,0)+IF(I57=$R$7,1,0)+IF(J57=$R$7,1,0)+IF(K57=$R$7,1,0)</f>
        <v/>
      </c>
      <c r="S57" s="120">
        <f>IF(G57=$S$7,1,0)+IF(H57=$S$7,1,0)+IF(I57=$S$7,1,0)+IF(J57=$S$7,1,0)+IF(K57=$S$7,1,0)</f>
        <v/>
      </c>
      <c r="T57" s="331">
        <f>IF(G57=$T$7,1,0)+IF(H57=$T$7,1,0)+IF(I57=$T$7,1,0)+IF(J57=$T$7,1,0)+IF(K57=$T$7,1,0)</f>
        <v/>
      </c>
      <c r="U57" s="331">
        <f>SUM(G57:K57)</f>
        <v/>
      </c>
      <c r="V57" s="332" t="n"/>
      <c r="W57" s="333">
        <f>IF(U57-V57&gt;0.1,1,0)</f>
        <v/>
      </c>
      <c r="X57" s="333">
        <f>U57-V57</f>
        <v/>
      </c>
      <c r="Y57" s="334" t="n"/>
      <c r="Z57" s="334" t="n"/>
    </row>
    <row r="58" ht="25.05" customFormat="1" customHeight="1" s="86">
      <c r="A58" s="101" t="n"/>
      <c r="B58" s="209" t="n"/>
      <c r="C58" s="329" t="n"/>
      <c r="D58" s="103" t="n"/>
      <c r="E58" s="104" t="n"/>
      <c r="F58" s="103" t="n"/>
      <c r="G58" s="105" t="n"/>
      <c r="H58" s="330" t="n"/>
      <c r="I58" s="105" t="n"/>
      <c r="J58" s="105" t="n"/>
      <c r="K58" s="105" t="n"/>
      <c r="L58" s="120">
        <f>IF(G58=$L$7,1,0)+IF(H58=$L$7,1,0)+IF(I58=$L$7,1,0)+IF(J58=$L$7,1,0)+IF(K58=$L$7,1,0)</f>
        <v/>
      </c>
      <c r="M58" s="120">
        <f>IF(G58=$M$7,1,0)+IF(H58=$M$7,1,0)+IF(I58=$M$7,1,0)+IF(J58=$M$7,1,0)+IF(K58=$M$7,1,0)</f>
        <v/>
      </c>
      <c r="N58" s="120">
        <f>IF(G58=$N$7,1,0)+IF(H58=$N$7,1,0)+IF(I58=$N$7,1,0)+IF(J58=$N$7,1,0)+IF(K58=$N$7,1,0)</f>
        <v/>
      </c>
      <c r="O58" s="120">
        <f>IF(G58=$O$7,1,0)+IF(H58=$O$7,1,0)+IF(I58=$O$7,1,0)+IF(J58=$O$7,1,0)+IF(K58=$O$7,1,0)</f>
        <v/>
      </c>
      <c r="P58" s="120">
        <f>IF(G58=$P$7,1,0)+IF(H58=$P$7,1,0)+IF(I58=$P$7,1,0)+IF(J58=$P$7,1,0)+IF(K58=$P$7,1,0)</f>
        <v/>
      </c>
      <c r="Q58" s="120">
        <f>IF(G58=$Q$7,1,0)+IF(H58=$Q$7,1,0)+IF(I58=$Q$7,1,0)+IF(J58=$Q$7,1,0)+IF(K58=$Q$7,1,0)</f>
        <v/>
      </c>
      <c r="R58" s="120">
        <f>IF(G58=$R$7,1,0)+IF(H58=$R$7,1,0)+IF(I58=$R$7,1,0)+IF(J58=$R$7,1,0)+IF(K58=$R$7,1,0)</f>
        <v/>
      </c>
      <c r="S58" s="120">
        <f>IF(G58=$S$7,1,0)+IF(H58=$S$7,1,0)+IF(I58=$S$7,1,0)+IF(J58=$S$7,1,0)+IF(K58=$S$7,1,0)</f>
        <v/>
      </c>
      <c r="T58" s="331">
        <f>IF(G58=$T$7,1,0)+IF(H58=$T$7,1,0)+IF(I58=$T$7,1,0)+IF(J58=$T$7,1,0)+IF(K58=$T$7,1,0)</f>
        <v/>
      </c>
      <c r="U58" s="331">
        <f>SUM(G58:K58)</f>
        <v/>
      </c>
      <c r="V58" s="332" t="n"/>
      <c r="W58" s="333">
        <f>IF(U58-V58&gt;0.1,1,0)</f>
        <v/>
      </c>
      <c r="X58" s="333">
        <f>U58-V58</f>
        <v/>
      </c>
      <c r="Y58" s="334" t="n"/>
      <c r="Z58" s="334" t="n"/>
    </row>
    <row r="59" ht="25.05" customFormat="1" customHeight="1" s="86">
      <c r="A59" s="101" t="n"/>
      <c r="B59" s="209" t="n"/>
      <c r="C59" s="329" t="n"/>
      <c r="D59" s="103" t="n"/>
      <c r="E59" s="104" t="n"/>
      <c r="F59" s="103" t="n"/>
      <c r="G59" s="105" t="n"/>
      <c r="H59" s="330" t="n"/>
      <c r="I59" s="105" t="n"/>
      <c r="J59" s="105" t="n"/>
      <c r="K59" s="105" t="n"/>
      <c r="L59" s="120">
        <f>IF(G59=$L$7,1,0)+IF(H59=$L$7,1,0)+IF(I59=$L$7,1,0)+IF(J59=$L$7,1,0)+IF(K59=$L$7,1,0)</f>
        <v/>
      </c>
      <c r="M59" s="120">
        <f>IF(G59=$M$7,1,0)+IF(H59=$M$7,1,0)+IF(I59=$M$7,1,0)+IF(J59=$M$7,1,0)+IF(K59=$M$7,1,0)</f>
        <v/>
      </c>
      <c r="N59" s="120">
        <f>IF(G59=$N$7,1,0)+IF(H59=$N$7,1,0)+IF(I59=$N$7,1,0)+IF(J59=$N$7,1,0)+IF(K59=$N$7,1,0)</f>
        <v/>
      </c>
      <c r="O59" s="120">
        <f>IF(G59=$O$7,1,0)+IF(H59=$O$7,1,0)+IF(I59=$O$7,1,0)+IF(J59=$O$7,1,0)+IF(K59=$O$7,1,0)</f>
        <v/>
      </c>
      <c r="P59" s="120">
        <f>IF(G59=$P$7,1,0)+IF(H59=$P$7,1,0)+IF(I59=$P$7,1,0)+IF(J59=$P$7,1,0)+IF(K59=$P$7,1,0)</f>
        <v/>
      </c>
      <c r="Q59" s="120">
        <f>IF(G59=$Q$7,1,0)+IF(H59=$Q$7,1,0)+IF(I59=$Q$7,1,0)+IF(J59=$Q$7,1,0)+IF(K59=$Q$7,1,0)</f>
        <v/>
      </c>
      <c r="R59" s="120">
        <f>IF(G59=$R$7,1,0)+IF(H59=$R$7,1,0)+IF(I59=$R$7,1,0)+IF(J59=$R$7,1,0)+IF(K59=$R$7,1,0)</f>
        <v/>
      </c>
      <c r="S59" s="120">
        <f>IF(G59=$S$7,1,0)+IF(H59=$S$7,1,0)+IF(I59=$S$7,1,0)+IF(J59=$S$7,1,0)+IF(K59=$S$7,1,0)</f>
        <v/>
      </c>
      <c r="T59" s="331">
        <f>IF(G59=$T$7,1,0)+IF(H59=$T$7,1,0)+IF(I59=$T$7,1,0)+IF(J59=$T$7,1,0)+IF(K59=$T$7,1,0)</f>
        <v/>
      </c>
      <c r="U59" s="331">
        <f>SUM(G59:K59)</f>
        <v/>
      </c>
      <c r="V59" s="332" t="n"/>
      <c r="W59" s="333">
        <f>IF(U59-V59&gt;0.1,1,0)</f>
        <v/>
      </c>
      <c r="X59" s="333">
        <f>U59-V59</f>
        <v/>
      </c>
      <c r="Y59" s="334" t="n">
        <v>150</v>
      </c>
      <c r="Z59" s="334" t="n"/>
    </row>
    <row r="60" ht="25.05" customFormat="1" customHeight="1" s="86">
      <c r="A60" s="101" t="n">
        <v>186</v>
      </c>
      <c r="B60" s="108" t="n"/>
      <c r="C60" s="109" t="inlineStr">
        <is>
          <t>Máy 420</t>
        </is>
      </c>
      <c r="D60" s="105" t="n"/>
      <c r="E60" s="110" t="n"/>
      <c r="F60" s="105" t="inlineStr">
        <is>
          <t>D400</t>
        </is>
      </c>
      <c r="G60" s="105" t="n"/>
      <c r="H60" s="330" t="n"/>
      <c r="I60" s="105" t="n"/>
      <c r="J60" s="105" t="n"/>
      <c r="K60" s="105" t="n"/>
      <c r="L60" s="120">
        <f>IF(G60=$L$7,1,0)+IF(H60=$L$7,1,0)+IF(I60=$L$7,1,0)+IF(J60=$L$7,1,0)+IF(K60=$L$7,1,0)</f>
        <v/>
      </c>
      <c r="M60" s="120">
        <f>IF(G60=$M$7,1,0)+IF(H60=$M$7,1,0)+IF(I60=$M$7,1,0)+IF(J60=$M$7,1,0)+IF(K60=$M$7,1,0)</f>
        <v/>
      </c>
      <c r="N60" s="120">
        <f>IF(G60=$N$7,1,0)+IF(H60=$N$7,1,0)+IF(I60=$N$7,1,0)+IF(J60=$N$7,1,0)+IF(K60=$N$7,1,0)</f>
        <v/>
      </c>
      <c r="O60" s="120">
        <f>IF(G60=$O$7,1,0)+IF(H60=$O$7,1,0)+IF(I60=$O$7,1,0)+IF(J60=$O$7,1,0)+IF(K60=$O$7,1,0)</f>
        <v/>
      </c>
      <c r="P60" s="120">
        <f>IF(G60=$P$7,1,0)+IF(H60=$P$7,1,0)+IF(I60=$P$7,1,0)+IF(J60=$P$7,1,0)+IF(K60=$P$7,1,0)</f>
        <v/>
      </c>
      <c r="Q60" s="120">
        <f>IF(G60=$Q$7,1,0)+IF(H60=$Q$7,1,0)+IF(I60=$Q$7,1,0)+IF(J60=$Q$7,1,0)+IF(K60=$Q$7,1,0)</f>
        <v/>
      </c>
      <c r="R60" s="120">
        <f>IF(G60=$R$7,1,0)+IF(H60=$R$7,1,0)+IF(I60=$R$7,1,0)+IF(J60=$R$7,1,0)+IF(K60=$R$7,1,0)</f>
        <v/>
      </c>
      <c r="S60" s="120">
        <f>IF(G60=$S$7,1,0)+IF(H60=$S$7,1,0)+IF(I60=$S$7,1,0)+IF(J60=$S$7,1,0)+IF(K60=$S$7,1,0)</f>
        <v/>
      </c>
      <c r="T60" s="331">
        <f>IF(G60=$T$7,1,0)+IF(H60=$T$7,1,0)+IF(I60=$T$7,1,0)+IF(J60=$T$7,1,0)+IF(K60=$T$7,1,0)</f>
        <v/>
      </c>
      <c r="U60" s="331">
        <f>SUM(G60:K60)</f>
        <v/>
      </c>
      <c r="V60" s="332" t="n"/>
      <c r="W60" s="333">
        <f>IF(U60-V60&gt;0.1,1,0)</f>
        <v/>
      </c>
      <c r="X60" s="333">
        <f>U60-V60</f>
        <v/>
      </c>
      <c r="Y60" s="334" t="n">
        <v>150</v>
      </c>
      <c r="Z60" s="138" t="n"/>
    </row>
    <row r="61" ht="25.05" customFormat="1" customHeight="1" s="86">
      <c r="A61" s="101" t="n">
        <v>38</v>
      </c>
      <c r="B61" s="349" t="inlineStr"/>
      <c r="C61" s="329" t="n"/>
      <c r="D61" s="103" t="inlineStr">
        <is>
          <t>32</t>
        </is>
      </c>
      <c r="E61" s="104" t="n"/>
      <c r="F61" s="103" t="inlineStr">
        <is>
          <t>400</t>
        </is>
      </c>
      <c r="G61" s="105" t="n"/>
      <c r="H61" s="330" t="n"/>
      <c r="I61" s="105" t="n"/>
      <c r="J61" s="105" t="n"/>
      <c r="K61" s="105" t="n"/>
      <c r="L61" s="120">
        <f>IF(G61=$L$7,1,0)+IF(H61=$L$7,1,0)+IF(I61=$L$7,1,0)+IF(J61=$L$7,1,0)+IF(K61=$L$7,1,0)</f>
        <v/>
      </c>
      <c r="M61" s="120">
        <f>IF(G61=$M$7,1,0)+IF(H61=$M$7,1,0)+IF(I61=$M$7,1,0)+IF(J61=$M$7,1,0)+IF(K61=$M$7,1,0)</f>
        <v/>
      </c>
      <c r="N61" s="120">
        <f>IF(G61=$N$7,1,0)+IF(H61=$N$7,1,0)+IF(I61=$N$7,1,0)+IF(J61=$N$7,1,0)+IF(K61=$N$7,1,0)</f>
        <v/>
      </c>
      <c r="O61" s="120">
        <f>IF(G61=$O$7,1,0)+IF(H61=$O$7,1,0)+IF(I61=$O$7,1,0)+IF(J61=$O$7,1,0)+IF(K61=$O$7,1,0)</f>
        <v/>
      </c>
      <c r="P61" s="120">
        <f>IF(G61=$P$7,1,0)+IF(H61=$P$7,1,0)+IF(I61=$P$7,1,0)+IF(J61=$P$7,1,0)+IF(K61=$P$7,1,0)</f>
        <v/>
      </c>
      <c r="Q61" s="120">
        <f>IF(G61=$Q$7,1,0)+IF(H61=$Q$7,1,0)+IF(I61=$Q$7,1,0)+IF(J61=$Q$7,1,0)+IF(K61=$Q$7,1,0)</f>
        <v/>
      </c>
      <c r="R61" s="120">
        <f>IF(G61=$R$7,1,0)+IF(H61=$R$7,1,0)+IF(I61=$R$7,1,0)+IF(J61=$R$7,1,0)+IF(K61=$R$7,1,0)</f>
        <v/>
      </c>
      <c r="S61" s="120">
        <f>IF(G61=$S$7,1,0)+IF(H61=$S$7,1,0)+IF(I61=$S$7,1,0)+IF(J61=$S$7,1,0)+IF(K61=$S$7,1,0)</f>
        <v/>
      </c>
      <c r="T61" s="331">
        <f>IF(G61=$T$7,1,0)+IF(H61=$T$7,1,0)+IF(I61=$T$7,1,0)+IF(J61=$T$7,1,0)+IF(K61=$T$7,1,0)</f>
        <v/>
      </c>
      <c r="U61" s="331">
        <f>SUM(G61:K61)</f>
        <v/>
      </c>
      <c r="V61" s="332" t="n"/>
      <c r="W61" s="333">
        <f>IF(U61-V61&gt;0.1,1,0)</f>
        <v/>
      </c>
      <c r="X61" s="333">
        <f>U61-V61</f>
        <v/>
      </c>
      <c r="Y61" s="334" t="n"/>
      <c r="Z61" s="334" t="inlineStr"/>
      <c r="AA61" s="350" t="n"/>
      <c r="AB61" s="350" t="n"/>
      <c r="AC61" s="350" t="n"/>
      <c r="AD61" s="350" t="n"/>
      <c r="AE61" s="350" t="n"/>
      <c r="AF61" s="350" t="n"/>
      <c r="AG61" s="350" t="n"/>
      <c r="AH61" s="350" t="n"/>
      <c r="AI61" s="350" t="n"/>
      <c r="AJ61" s="350" t="n"/>
      <c r="AK61" s="350" t="n"/>
      <c r="AL61" s="350" t="n"/>
      <c r="AM61" s="350" t="n"/>
      <c r="AN61" s="350" t="n"/>
      <c r="AO61" s="350" t="n"/>
      <c r="AP61" s="350" t="n"/>
      <c r="AQ61" s="350" t="n"/>
      <c r="AR61" s="350" t="n"/>
      <c r="AS61" s="350" t="n"/>
      <c r="AT61" s="350" t="n"/>
      <c r="AU61" s="350" t="n"/>
      <c r="AV61" s="350" t="n"/>
      <c r="AW61" s="350" t="n"/>
      <c r="AX61" s="350" t="n"/>
      <c r="AY61" s="350" t="n"/>
    </row>
    <row r="62" ht="25.05" customFormat="1" customHeight="1" s="86">
      <c r="A62" s="101" t="n">
        <v>39</v>
      </c>
      <c r="B62" s="349" t="inlineStr"/>
      <c r="C62" s="329" t="n"/>
      <c r="D62" s="103" t="inlineStr">
        <is>
          <t>57</t>
        </is>
      </c>
      <c r="E62" s="104" t="n"/>
      <c r="F62" s="103" t="inlineStr">
        <is>
          <t>11</t>
        </is>
      </c>
      <c r="G62" s="105" t="n"/>
      <c r="H62" s="330" t="n"/>
      <c r="I62" s="105" t="n"/>
      <c r="J62" s="105" t="n"/>
      <c r="K62" s="105" t="n"/>
      <c r="L62" s="120">
        <f>IF(G62=$L$7,1,0)+IF(H62=$L$7,1,0)+IF(I62=$L$7,1,0)+IF(J62=$L$7,1,0)+IF(K62=$L$7,1,0)</f>
        <v/>
      </c>
      <c r="M62" s="120">
        <f>IF(G62=$M$7,1,0)+IF(H62=$M$7,1,0)+IF(I62=$M$7,1,0)+IF(J62=$M$7,1,0)+IF(K62=$M$7,1,0)</f>
        <v/>
      </c>
      <c r="N62" s="120">
        <f>IF(G62=$N$7,1,0)+IF(H62=$N$7,1,0)+IF(I62=$N$7,1,0)+IF(J62=$N$7,1,0)+IF(K62=$N$7,1,0)</f>
        <v/>
      </c>
      <c r="O62" s="120">
        <f>IF(G62=$O$7,1,0)+IF(H62=$O$7,1,0)+IF(I62=$O$7,1,0)+IF(J62=$O$7,1,0)+IF(K62=$O$7,1,0)</f>
        <v/>
      </c>
      <c r="P62" s="120">
        <f>IF(G62=$P$7,1,0)+IF(H62=$P$7,1,0)+IF(I62=$P$7,1,0)+IF(J62=$P$7,1,0)+IF(K62=$P$7,1,0)</f>
        <v/>
      </c>
      <c r="Q62" s="120">
        <f>IF(G62=$Q$7,1,0)+IF(H62=$Q$7,1,0)+IF(I62=$Q$7,1,0)+IF(J62=$Q$7,1,0)+IF(K62=$Q$7,1,0)</f>
        <v/>
      </c>
      <c r="R62" s="120">
        <f>IF(G62=$R$7,1,0)+IF(H62=$R$7,1,0)+IF(I62=$R$7,1,0)+IF(J62=$R$7,1,0)+IF(K62=$R$7,1,0)</f>
        <v/>
      </c>
      <c r="S62" s="120">
        <f>IF(G62=$S$7,1,0)+IF(H62=$S$7,1,0)+IF(I62=$S$7,1,0)+IF(J62=$S$7,1,0)+IF(K62=$S$7,1,0)</f>
        <v/>
      </c>
      <c r="T62" s="331">
        <f>IF(G62=$T$7,1,0)+IF(H62=$T$7,1,0)+IF(I62=$T$7,1,0)+IF(J62=$T$7,1,0)+IF(K62=$T$7,1,0)</f>
        <v/>
      </c>
      <c r="U62" s="331">
        <f>SUM(G62:K62)</f>
        <v/>
      </c>
      <c r="V62" s="332" t="n"/>
      <c r="W62" s="333">
        <f>IF(U62-V62&gt;0.1,1,0)</f>
        <v/>
      </c>
      <c r="X62" s="333">
        <f>U62-V62</f>
        <v/>
      </c>
      <c r="Y62" s="334" t="n"/>
      <c r="Z62" s="334" t="inlineStr"/>
      <c r="AA62" s="350" t="n"/>
      <c r="AB62" s="350" t="n"/>
      <c r="AC62" s="350" t="n"/>
      <c r="AD62" s="350" t="n"/>
      <c r="AE62" s="350" t="n"/>
      <c r="AF62" s="350" t="n"/>
      <c r="AG62" s="350" t="n"/>
      <c r="AH62" s="350" t="n"/>
      <c r="AI62" s="350" t="n"/>
      <c r="AJ62" s="350" t="n"/>
      <c r="AK62" s="350" t="n"/>
      <c r="AL62" s="350" t="n"/>
      <c r="AM62" s="350" t="n"/>
      <c r="AN62" s="350" t="n"/>
      <c r="AO62" s="350" t="n"/>
      <c r="AP62" s="350" t="n"/>
      <c r="AQ62" s="350" t="n"/>
      <c r="AR62" s="350" t="n"/>
      <c r="AS62" s="350" t="n"/>
      <c r="AT62" s="350" t="n"/>
      <c r="AU62" s="350" t="n"/>
      <c r="AV62" s="350" t="n"/>
      <c r="AW62" s="350" t="n"/>
      <c r="AX62" s="350" t="n"/>
      <c r="AY62" s="350" t="n"/>
    </row>
    <row r="63" ht="25.05" customFormat="1" customHeight="1" s="86">
      <c r="A63" s="101" t="n">
        <v>40</v>
      </c>
      <c r="B63" s="349" t="inlineStr"/>
      <c r="C63" s="329" t="n"/>
      <c r="D63" s="103" t="inlineStr">
        <is>
          <t>58</t>
        </is>
      </c>
      <c r="E63" s="104" t="n"/>
      <c r="F63" s="103" t="inlineStr">
        <is>
          <t>11</t>
        </is>
      </c>
      <c r="G63" s="105" t="n"/>
      <c r="H63" s="330" t="n"/>
      <c r="I63" s="105" t="n"/>
      <c r="J63" s="105" t="n"/>
      <c r="K63" s="105" t="n"/>
      <c r="L63" s="120">
        <f>IF(G63=$L$7,1,0)+IF(H63=$L$7,1,0)+IF(I63=$L$7,1,0)+IF(J63=$L$7,1,0)+IF(K63=$L$7,1,0)</f>
        <v/>
      </c>
      <c r="M63" s="120">
        <f>IF(G63=$M$7,1,0)+IF(H63=$M$7,1,0)+IF(I63=$M$7,1,0)+IF(J63=$M$7,1,0)+IF(K63=$M$7,1,0)</f>
        <v/>
      </c>
      <c r="N63" s="120">
        <f>IF(G63=$N$7,1,0)+IF(H63=$N$7,1,0)+IF(I63=$N$7,1,0)+IF(J63=$N$7,1,0)+IF(K63=$N$7,1,0)</f>
        <v/>
      </c>
      <c r="O63" s="120">
        <f>IF(G63=$O$7,1,0)+IF(H63=$O$7,1,0)+IF(I63=$O$7,1,0)+IF(J63=$O$7,1,0)+IF(K63=$O$7,1,0)</f>
        <v/>
      </c>
      <c r="P63" s="120">
        <f>IF(G63=$P$7,1,0)+IF(H63=$P$7,1,0)+IF(I63=$P$7,1,0)+IF(J63=$P$7,1,0)+IF(K63=$P$7,1,0)</f>
        <v/>
      </c>
      <c r="Q63" s="120">
        <f>IF(G63=$Q$7,1,0)+IF(H63=$Q$7,1,0)+IF(I63=$Q$7,1,0)+IF(J63=$Q$7,1,0)+IF(K63=$Q$7,1,0)</f>
        <v/>
      </c>
      <c r="R63" s="120">
        <f>IF(G63=$R$7,1,0)+IF(H63=$R$7,1,0)+IF(I63=$R$7,1,0)+IF(J63=$R$7,1,0)+IF(K63=$R$7,1,0)</f>
        <v/>
      </c>
      <c r="S63" s="120">
        <f>IF(G63=$S$7,1,0)+IF(H63=$S$7,1,0)+IF(I63=$S$7,1,0)+IF(J63=$S$7,1,0)+IF(K63=$S$7,1,0)</f>
        <v/>
      </c>
      <c r="T63" s="331">
        <f>IF(G63=$T$7,1,0)+IF(H63=$T$7,1,0)+IF(I63=$T$7,1,0)+IF(J63=$T$7,1,0)+IF(K63=$T$7,1,0)</f>
        <v/>
      </c>
      <c r="U63" s="331">
        <f>SUM(G63:K63)</f>
        <v/>
      </c>
      <c r="V63" s="332" t="n"/>
      <c r="W63" s="333">
        <f>IF(U63-V63&gt;0.1,1,0)</f>
        <v/>
      </c>
      <c r="X63" s="333">
        <f>U63-V63</f>
        <v/>
      </c>
      <c r="Y63" s="334" t="n"/>
      <c r="Z63" s="334" t="inlineStr"/>
      <c r="AA63" s="350" t="n"/>
      <c r="AB63" s="350" t="n"/>
      <c r="AC63" s="350" t="n"/>
      <c r="AD63" s="350" t="n"/>
      <c r="AE63" s="350" t="n"/>
      <c r="AF63" s="350" t="n"/>
      <c r="AG63" s="350" t="n"/>
      <c r="AH63" s="350" t="n"/>
      <c r="AI63" s="350" t="n"/>
      <c r="AJ63" s="350" t="n"/>
      <c r="AK63" s="350" t="n"/>
      <c r="AL63" s="350" t="n"/>
      <c r="AM63" s="350" t="n"/>
      <c r="AN63" s="350" t="n"/>
      <c r="AO63" s="350" t="n"/>
      <c r="AP63" s="350" t="n"/>
      <c r="AQ63" s="350" t="n"/>
      <c r="AR63" s="350" t="n"/>
      <c r="AS63" s="350" t="n"/>
      <c r="AT63" s="350" t="n"/>
      <c r="AU63" s="350" t="n"/>
      <c r="AV63" s="350" t="n"/>
      <c r="AW63" s="350" t="n"/>
      <c r="AX63" s="350" t="n"/>
      <c r="AY63" s="350" t="n"/>
    </row>
    <row r="64" ht="25.05" customFormat="1" customHeight="1" s="86">
      <c r="A64" s="101" t="n">
        <v>41</v>
      </c>
      <c r="B64" s="349" t="inlineStr"/>
      <c r="C64" s="329" t="n"/>
      <c r="D64" s="103" t="inlineStr">
        <is>
          <t>59</t>
        </is>
      </c>
      <c r="E64" s="104" t="n"/>
      <c r="F64" s="103" t="inlineStr">
        <is>
          <t>11</t>
        </is>
      </c>
      <c r="G64" s="105" t="n"/>
      <c r="H64" s="330" t="n"/>
      <c r="I64" s="105" t="n"/>
      <c r="J64" s="105" t="n"/>
      <c r="K64" s="105" t="n"/>
      <c r="L64" s="120">
        <f>IF(G64=$L$7,1,0)+IF(H64=$L$7,1,0)+IF(I64=$L$7,1,0)+IF(J64=$L$7,1,0)+IF(K64=$L$7,1,0)</f>
        <v/>
      </c>
      <c r="M64" s="120">
        <f>IF(G64=$M$7,1,0)+IF(H64=$M$7,1,0)+IF(I64=$M$7,1,0)+IF(J64=$M$7,1,0)+IF(K64=$M$7,1,0)</f>
        <v/>
      </c>
      <c r="N64" s="120">
        <f>IF(G64=$N$7,1,0)+IF(H64=$N$7,1,0)+IF(I64=$N$7,1,0)+IF(J64=$N$7,1,0)+IF(K64=$N$7,1,0)</f>
        <v/>
      </c>
      <c r="O64" s="120">
        <f>IF(G64=$O$7,1,0)+IF(H64=$O$7,1,0)+IF(I64=$O$7,1,0)+IF(J64=$O$7,1,0)+IF(K64=$O$7,1,0)</f>
        <v/>
      </c>
      <c r="P64" s="120">
        <f>IF(G64=$P$7,1,0)+IF(H64=$P$7,1,0)+IF(I64=$P$7,1,0)+IF(J64=$P$7,1,0)+IF(K64=$P$7,1,0)</f>
        <v/>
      </c>
      <c r="Q64" s="120">
        <f>IF(G64=$Q$7,1,0)+IF(H64=$Q$7,1,0)+IF(I64=$Q$7,1,0)+IF(J64=$Q$7,1,0)+IF(K64=$Q$7,1,0)</f>
        <v/>
      </c>
      <c r="R64" s="120">
        <f>IF(G64=$R$7,1,0)+IF(H64=$R$7,1,0)+IF(I64=$R$7,1,0)+IF(J64=$R$7,1,0)+IF(K64=$R$7,1,0)</f>
        <v/>
      </c>
      <c r="S64" s="120">
        <f>IF(G64=$S$7,1,0)+IF(H64=$S$7,1,0)+IF(I64=$S$7,1,0)+IF(J64=$S$7,1,0)+IF(K64=$S$7,1,0)</f>
        <v/>
      </c>
      <c r="T64" s="331">
        <f>IF(G64=$T$7,1,0)+IF(H64=$T$7,1,0)+IF(I64=$T$7,1,0)+IF(J64=$T$7,1,0)+IF(K64=$T$7,1,0)</f>
        <v/>
      </c>
      <c r="U64" s="331">
        <f>SUM(G64:K64)</f>
        <v/>
      </c>
      <c r="V64" s="332" t="n"/>
      <c r="W64" s="333">
        <f>IF(U64-V64&gt;0.1,1,0)</f>
        <v/>
      </c>
      <c r="X64" s="333">
        <f>U64-V64</f>
        <v/>
      </c>
      <c r="Y64" s="334" t="n"/>
      <c r="Z64" s="334" t="inlineStr"/>
      <c r="AA64" s="350" t="n"/>
      <c r="AB64" s="350" t="n"/>
      <c r="AC64" s="350" t="n"/>
      <c r="AD64" s="350" t="n"/>
      <c r="AE64" s="350" t="n"/>
      <c r="AF64" s="350" t="n"/>
      <c r="AG64" s="350" t="n"/>
      <c r="AH64" s="350" t="n"/>
      <c r="AI64" s="350" t="n"/>
      <c r="AJ64" s="350" t="n"/>
      <c r="AK64" s="350" t="n"/>
      <c r="AL64" s="350" t="n"/>
      <c r="AM64" s="350" t="n"/>
      <c r="AN64" s="350" t="n"/>
      <c r="AO64" s="350" t="n"/>
      <c r="AP64" s="350" t="n"/>
      <c r="AQ64" s="350" t="n"/>
      <c r="AR64" s="350" t="n"/>
      <c r="AS64" s="350" t="n"/>
      <c r="AT64" s="350" t="n"/>
      <c r="AU64" s="350" t="n"/>
      <c r="AV64" s="350" t="n"/>
      <c r="AW64" s="350" t="n"/>
      <c r="AX64" s="350" t="n"/>
      <c r="AY64" s="350" t="n"/>
    </row>
    <row r="65" ht="25.05" customFormat="1" customHeight="1" s="86">
      <c r="A65" s="101" t="n">
        <v>42</v>
      </c>
      <c r="B65" s="349" t="inlineStr"/>
      <c r="C65" s="329" t="n"/>
      <c r="D65" s="103" t="inlineStr">
        <is>
          <t>85</t>
        </is>
      </c>
      <c r="E65" s="104" t="n"/>
      <c r="F65" s="103" t="inlineStr">
        <is>
          <t>11</t>
        </is>
      </c>
      <c r="G65" s="105" t="n"/>
      <c r="H65" s="330" t="n"/>
      <c r="I65" s="105" t="n"/>
      <c r="J65" s="105" t="n"/>
      <c r="K65" s="105" t="n"/>
      <c r="L65" s="120">
        <f>IF(G65=$L$7,1,0)+IF(H65=$L$7,1,0)+IF(I65=$L$7,1,0)+IF(J65=$L$7,1,0)+IF(K65=$L$7,1,0)</f>
        <v/>
      </c>
      <c r="M65" s="120">
        <f>IF(G65=$M$7,1,0)+IF(H65=$M$7,1,0)+IF(I65=$M$7,1,0)+IF(J65=$M$7,1,0)+IF(K65=$M$7,1,0)</f>
        <v/>
      </c>
      <c r="N65" s="120">
        <f>IF(G65=$N$7,1,0)+IF(H65=$N$7,1,0)+IF(I65=$N$7,1,0)+IF(J65=$N$7,1,0)+IF(K65=$N$7,1,0)</f>
        <v/>
      </c>
      <c r="O65" s="120">
        <f>IF(G65=$O$7,1,0)+IF(H65=$O$7,1,0)+IF(I65=$O$7,1,0)+IF(J65=$O$7,1,0)+IF(K65=$O$7,1,0)</f>
        <v/>
      </c>
      <c r="P65" s="120">
        <f>IF(G65=$P$7,1,0)+IF(H65=$P$7,1,0)+IF(I65=$P$7,1,0)+IF(J65=$P$7,1,0)+IF(K65=$P$7,1,0)</f>
        <v/>
      </c>
      <c r="Q65" s="120">
        <f>IF(G65=$Q$7,1,0)+IF(H65=$Q$7,1,0)+IF(I65=$Q$7,1,0)+IF(J65=$Q$7,1,0)+IF(K65=$Q$7,1,0)</f>
        <v/>
      </c>
      <c r="R65" s="120">
        <f>IF(G65=$R$7,1,0)+IF(H65=$R$7,1,0)+IF(I65=$R$7,1,0)+IF(J65=$R$7,1,0)+IF(K65=$R$7,1,0)</f>
        <v/>
      </c>
      <c r="S65" s="120">
        <f>IF(G65=$S$7,1,0)+IF(H65=$S$7,1,0)+IF(I65=$S$7,1,0)+IF(J65=$S$7,1,0)+IF(K65=$S$7,1,0)</f>
        <v/>
      </c>
      <c r="T65" s="331">
        <f>IF(G65=$T$7,1,0)+IF(H65=$T$7,1,0)+IF(I65=$T$7,1,0)+IF(J65=$T$7,1,0)+IF(K65=$T$7,1,0)</f>
        <v/>
      </c>
      <c r="U65" s="331">
        <f>SUM(G65:K65)</f>
        <v/>
      </c>
      <c r="V65" s="332" t="n"/>
      <c r="W65" s="333">
        <f>IF(U65-V65&gt;0.1,1,0)</f>
        <v/>
      </c>
      <c r="X65" s="333">
        <f>U65-V65</f>
        <v/>
      </c>
      <c r="Y65" s="334" t="n"/>
      <c r="Z65" s="334" t="inlineStr">
        <is>
          <t>cắt cọc</t>
        </is>
      </c>
      <c r="AA65" s="350" t="n"/>
      <c r="AB65" s="350" t="n"/>
      <c r="AC65" s="350" t="n"/>
      <c r="AD65" s="350" t="n"/>
      <c r="AE65" s="350" t="n"/>
      <c r="AF65" s="350" t="n"/>
      <c r="AG65" s="350" t="n"/>
      <c r="AH65" s="350" t="n"/>
      <c r="AI65" s="350" t="n"/>
      <c r="AJ65" s="350" t="n"/>
      <c r="AK65" s="350" t="n"/>
      <c r="AL65" s="350" t="n"/>
      <c r="AM65" s="350" t="n"/>
      <c r="AN65" s="350" t="n"/>
      <c r="AO65" s="350" t="n"/>
      <c r="AP65" s="350" t="n"/>
      <c r="AQ65" s="350" t="n"/>
      <c r="AR65" s="350" t="n"/>
      <c r="AS65" s="350" t="n"/>
      <c r="AT65" s="350" t="n"/>
      <c r="AU65" s="350" t="n"/>
      <c r="AV65" s="350" t="n"/>
      <c r="AW65" s="350" t="n"/>
      <c r="AX65" s="350" t="n"/>
      <c r="AY65" s="350" t="n"/>
    </row>
    <row r="66" ht="25.05" customFormat="1" customHeight="1" s="86">
      <c r="A66" s="101" t="n">
        <v>43</v>
      </c>
      <c r="B66" s="349" t="inlineStr"/>
      <c r="C66" s="329" t="n"/>
      <c r="D66" s="103" t="inlineStr">
        <is>
          <t>86</t>
        </is>
      </c>
      <c r="E66" s="104" t="n"/>
      <c r="F66" s="103" t="inlineStr">
        <is>
          <t>11</t>
        </is>
      </c>
      <c r="G66" s="105" t="n"/>
      <c r="H66" s="330" t="n"/>
      <c r="I66" s="105" t="n"/>
      <c r="J66" s="105" t="n"/>
      <c r="K66" s="105" t="n"/>
      <c r="L66" s="120">
        <f>IF(G66=$L$7,1,0)+IF(H66=$L$7,1,0)+IF(I66=$L$7,1,0)+IF(J66=$L$7,1,0)+IF(K66=$L$7,1,0)</f>
        <v/>
      </c>
      <c r="M66" s="120">
        <f>IF(G66=$M$7,1,0)+IF(H66=$M$7,1,0)+IF(I66=$M$7,1,0)+IF(J66=$M$7,1,0)+IF(K66=$M$7,1,0)</f>
        <v/>
      </c>
      <c r="N66" s="120">
        <f>IF(G66=$N$7,1,0)+IF(H66=$N$7,1,0)+IF(I66=$N$7,1,0)+IF(J66=$N$7,1,0)+IF(K66=$N$7,1,0)</f>
        <v/>
      </c>
      <c r="O66" s="120">
        <f>IF(G66=$O$7,1,0)+IF(H66=$O$7,1,0)+IF(I66=$O$7,1,0)+IF(J66=$O$7,1,0)+IF(K66=$O$7,1,0)</f>
        <v/>
      </c>
      <c r="P66" s="120">
        <f>IF(G66=$P$7,1,0)+IF(H66=$P$7,1,0)+IF(I66=$P$7,1,0)+IF(J66=$P$7,1,0)+IF(K66=$P$7,1,0)</f>
        <v/>
      </c>
      <c r="Q66" s="120">
        <f>IF(G66=$Q$7,1,0)+IF(H66=$Q$7,1,0)+IF(I66=$Q$7,1,0)+IF(J66=$Q$7,1,0)+IF(K66=$Q$7,1,0)</f>
        <v/>
      </c>
      <c r="R66" s="120">
        <f>IF(G66=$R$7,1,0)+IF(H66=$R$7,1,0)+IF(I66=$R$7,1,0)+IF(J66=$R$7,1,0)+IF(K66=$R$7,1,0)</f>
        <v/>
      </c>
      <c r="S66" s="120">
        <f>IF(G66=$S$7,1,0)+IF(H66=$S$7,1,0)+IF(I66=$S$7,1,0)+IF(J66=$S$7,1,0)+IF(K66=$S$7,1,0)</f>
        <v/>
      </c>
      <c r="T66" s="331">
        <f>IF(G66=$T$7,1,0)+IF(H66=$T$7,1,0)+IF(I66=$T$7,1,0)+IF(J66=$T$7,1,0)+IF(K66=$T$7,1,0)</f>
        <v/>
      </c>
      <c r="U66" s="331">
        <f>SUM(G66:K66)</f>
        <v/>
      </c>
      <c r="V66" s="332" t="n"/>
      <c r="W66" s="333">
        <f>IF(U66-V66&gt;0.1,1,0)</f>
        <v/>
      </c>
      <c r="X66" s="333">
        <f>U66-V66</f>
        <v/>
      </c>
      <c r="Y66" s="334" t="n"/>
      <c r="Z66" s="334" t="inlineStr">
        <is>
          <t>cắt cọc</t>
        </is>
      </c>
      <c r="AA66" s="350" t="n"/>
      <c r="AB66" s="350" t="n"/>
      <c r="AC66" s="350" t="n"/>
      <c r="AD66" s="350" t="n"/>
      <c r="AE66" s="350" t="n"/>
      <c r="AF66" s="350" t="n"/>
      <c r="AG66" s="350" t="n"/>
      <c r="AH66" s="350" t="n"/>
      <c r="AI66" s="350" t="n"/>
      <c r="AJ66" s="350" t="n"/>
      <c r="AK66" s="350" t="n"/>
      <c r="AL66" s="350" t="n"/>
      <c r="AM66" s="350" t="n"/>
      <c r="AN66" s="350" t="n"/>
      <c r="AO66" s="350" t="n"/>
      <c r="AP66" s="350" t="n"/>
      <c r="AQ66" s="350" t="n"/>
      <c r="AR66" s="350" t="n"/>
      <c r="AS66" s="350" t="n"/>
      <c r="AT66" s="350" t="n"/>
      <c r="AU66" s="350" t="n"/>
      <c r="AV66" s="350" t="n"/>
      <c r="AW66" s="350" t="n"/>
      <c r="AX66" s="350" t="n"/>
      <c r="AY66" s="350" t="n"/>
    </row>
    <row r="67" ht="25.05" customFormat="1" customHeight="1" s="86">
      <c r="A67" s="101" t="n">
        <v>44</v>
      </c>
      <c r="B67" s="349" t="inlineStr"/>
      <c r="C67" s="329" t="n"/>
      <c r="D67" s="103" t="inlineStr">
        <is>
          <t>87</t>
        </is>
      </c>
      <c r="E67" s="104" t="n"/>
      <c r="F67" s="103" t="inlineStr">
        <is>
          <t>11</t>
        </is>
      </c>
      <c r="G67" s="105" t="n"/>
      <c r="H67" s="330" t="n"/>
      <c r="I67" s="105" t="n"/>
      <c r="J67" s="105" t="n"/>
      <c r="K67" s="105" t="n"/>
      <c r="L67" s="120">
        <f>IF(G67=$L$7,1,0)+IF(H67=$L$7,1,0)+IF(I67=$L$7,1,0)+IF(J67=$L$7,1,0)+IF(K67=$L$7,1,0)</f>
        <v/>
      </c>
      <c r="M67" s="120">
        <f>IF(G67=$M$7,1,0)+IF(H67=$M$7,1,0)+IF(I67=$M$7,1,0)+IF(J67=$M$7,1,0)+IF(K67=$M$7,1,0)</f>
        <v/>
      </c>
      <c r="N67" s="120">
        <f>IF(G67=$N$7,1,0)+IF(H67=$N$7,1,0)+IF(I67=$N$7,1,0)+IF(J67=$N$7,1,0)+IF(K67=$N$7,1,0)</f>
        <v/>
      </c>
      <c r="O67" s="120">
        <f>IF(G67=$O$7,1,0)+IF(H67=$O$7,1,0)+IF(I67=$O$7,1,0)+IF(J67=$O$7,1,0)+IF(K67=$O$7,1,0)</f>
        <v/>
      </c>
      <c r="P67" s="120">
        <f>IF(G67=$P$7,1,0)+IF(H67=$P$7,1,0)+IF(I67=$P$7,1,0)+IF(J67=$P$7,1,0)+IF(K67=$P$7,1,0)</f>
        <v/>
      </c>
      <c r="Q67" s="120">
        <f>IF(G67=$Q$7,1,0)+IF(H67=$Q$7,1,0)+IF(I67=$Q$7,1,0)+IF(J67=$Q$7,1,0)+IF(K67=$Q$7,1,0)</f>
        <v/>
      </c>
      <c r="R67" s="120">
        <f>IF(G67=$R$7,1,0)+IF(H67=$R$7,1,0)+IF(I67=$R$7,1,0)+IF(J67=$R$7,1,0)+IF(K67=$R$7,1,0)</f>
        <v/>
      </c>
      <c r="S67" s="120">
        <f>IF(G67=$S$7,1,0)+IF(H67=$S$7,1,0)+IF(I67=$S$7,1,0)+IF(J67=$S$7,1,0)+IF(K67=$S$7,1,0)</f>
        <v/>
      </c>
      <c r="T67" s="331">
        <f>IF(G67=$T$7,1,0)+IF(H67=$T$7,1,0)+IF(I67=$T$7,1,0)+IF(J67=$T$7,1,0)+IF(K67=$T$7,1,0)</f>
        <v/>
      </c>
      <c r="U67" s="331">
        <f>SUM(G67:K67)</f>
        <v/>
      </c>
      <c r="V67" s="332" t="n"/>
      <c r="W67" s="333">
        <f>IF(U67-V67&gt;0.1,1,0)</f>
        <v/>
      </c>
      <c r="X67" s="333">
        <f>U67-V67</f>
        <v/>
      </c>
      <c r="Y67" s="334" t="n"/>
      <c r="Z67" s="334" t="inlineStr">
        <is>
          <t>cắt cọc</t>
        </is>
      </c>
      <c r="AA67" s="350" t="n"/>
      <c r="AB67" s="350" t="n"/>
      <c r="AC67" s="350" t="n"/>
      <c r="AD67" s="350" t="n"/>
      <c r="AE67" s="350" t="n"/>
      <c r="AF67" s="350" t="n"/>
      <c r="AG67" s="350" t="n"/>
      <c r="AH67" s="350" t="n"/>
      <c r="AI67" s="350" t="n"/>
      <c r="AJ67" s="350" t="n"/>
      <c r="AK67" s="350" t="n"/>
      <c r="AL67" s="350" t="n"/>
      <c r="AM67" s="350" t="n"/>
      <c r="AN67" s="350" t="n"/>
      <c r="AO67" s="350" t="n"/>
      <c r="AP67" s="350" t="n"/>
      <c r="AQ67" s="350" t="n"/>
      <c r="AR67" s="350" t="n"/>
      <c r="AS67" s="350" t="n"/>
      <c r="AT67" s="350" t="n"/>
      <c r="AU67" s="350" t="n"/>
      <c r="AV67" s="350" t="n"/>
      <c r="AW67" s="350" t="n"/>
      <c r="AX67" s="350" t="n"/>
      <c r="AY67" s="350" t="n"/>
    </row>
    <row r="68" ht="25.05" customFormat="1" customHeight="1" s="86">
      <c r="A68" s="101" t="n">
        <v>45</v>
      </c>
      <c r="B68" s="349" t="inlineStr"/>
      <c r="C68" s="329" t="n"/>
      <c r="D68" s="103" t="inlineStr">
        <is>
          <t>113</t>
        </is>
      </c>
      <c r="E68" s="104" t="n"/>
      <c r="F68" s="103" t="inlineStr">
        <is>
          <t>11</t>
        </is>
      </c>
      <c r="G68" s="105" t="n"/>
      <c r="H68" s="330" t="n"/>
      <c r="I68" s="105" t="n"/>
      <c r="J68" s="105" t="n"/>
      <c r="K68" s="105" t="n"/>
      <c r="L68" s="120">
        <f>IF(G68=$L$7,1,0)+IF(H68=$L$7,1,0)+IF(I68=$L$7,1,0)+IF(J68=$L$7,1,0)+IF(K68=$L$7,1,0)</f>
        <v/>
      </c>
      <c r="M68" s="120">
        <f>IF(G68=$M$7,1,0)+IF(H68=$M$7,1,0)+IF(I68=$M$7,1,0)+IF(J68=$M$7,1,0)+IF(K68=$M$7,1,0)</f>
        <v/>
      </c>
      <c r="N68" s="120">
        <f>IF(G68=$N$7,1,0)+IF(H68=$N$7,1,0)+IF(I68=$N$7,1,0)+IF(J68=$N$7,1,0)+IF(K68=$N$7,1,0)</f>
        <v/>
      </c>
      <c r="O68" s="120">
        <f>IF(G68=$O$7,1,0)+IF(H68=$O$7,1,0)+IF(I68=$O$7,1,0)+IF(J68=$O$7,1,0)+IF(K68=$O$7,1,0)</f>
        <v/>
      </c>
      <c r="P68" s="120">
        <f>IF(G68=$P$7,1,0)+IF(H68=$P$7,1,0)+IF(I68=$P$7,1,0)+IF(J68=$P$7,1,0)+IF(K68=$P$7,1,0)</f>
        <v/>
      </c>
      <c r="Q68" s="120">
        <f>IF(G68=$Q$7,1,0)+IF(H68=$Q$7,1,0)+IF(I68=$Q$7,1,0)+IF(J68=$Q$7,1,0)+IF(K68=$Q$7,1,0)</f>
        <v/>
      </c>
      <c r="R68" s="120">
        <f>IF(G68=$R$7,1,0)+IF(H68=$R$7,1,0)+IF(I68=$R$7,1,0)+IF(J68=$R$7,1,0)+IF(K68=$R$7,1,0)</f>
        <v/>
      </c>
      <c r="S68" s="120">
        <f>IF(G68=$S$7,1,0)+IF(H68=$S$7,1,0)+IF(I68=$S$7,1,0)+IF(J68=$S$7,1,0)+IF(K68=$S$7,1,0)</f>
        <v/>
      </c>
      <c r="T68" s="331">
        <f>IF(G68=$T$7,1,0)+IF(H68=$T$7,1,0)+IF(I68=$T$7,1,0)+IF(J68=$T$7,1,0)+IF(K68=$T$7,1,0)</f>
        <v/>
      </c>
      <c r="U68" s="331">
        <f>SUM(G68:K68)</f>
        <v/>
      </c>
      <c r="V68" s="332" t="n"/>
      <c r="W68" s="333">
        <f>IF(U68-V68&gt;0.1,1,0)</f>
        <v/>
      </c>
      <c r="X68" s="333">
        <f>U68-V68</f>
        <v/>
      </c>
      <c r="Y68" s="334" t="n"/>
      <c r="Z68" s="334" t="inlineStr">
        <is>
          <t>cắt cọc</t>
        </is>
      </c>
      <c r="AA68" s="350" t="n"/>
      <c r="AB68" s="350" t="n"/>
      <c r="AC68" s="350" t="n"/>
      <c r="AD68" s="350" t="n"/>
      <c r="AE68" s="350" t="n"/>
      <c r="AF68" s="350" t="n"/>
      <c r="AG68" s="350" t="n"/>
      <c r="AH68" s="350" t="n"/>
      <c r="AI68" s="350" t="n"/>
      <c r="AJ68" s="350" t="n"/>
      <c r="AK68" s="350" t="n"/>
      <c r="AL68" s="350" t="n"/>
      <c r="AM68" s="350" t="n"/>
      <c r="AN68" s="350" t="n"/>
      <c r="AO68" s="350" t="n"/>
      <c r="AP68" s="350" t="n"/>
      <c r="AQ68" s="350" t="n"/>
      <c r="AR68" s="350" t="n"/>
      <c r="AS68" s="350" t="n"/>
      <c r="AT68" s="350" t="n"/>
      <c r="AU68" s="350" t="n"/>
      <c r="AV68" s="350" t="n"/>
      <c r="AW68" s="350" t="n"/>
      <c r="AX68" s="350" t="n"/>
      <c r="AY68" s="350" t="n"/>
    </row>
    <row r="69" ht="25.05" customFormat="1" customHeight="1" s="86">
      <c r="A69" s="101" t="n">
        <v>46</v>
      </c>
      <c r="B69" s="349" t="inlineStr"/>
      <c r="C69" s="329" t="n"/>
      <c r="D69" s="103" t="inlineStr">
        <is>
          <t>114</t>
        </is>
      </c>
      <c r="E69" s="104" t="n"/>
      <c r="F69" s="103" t="inlineStr">
        <is>
          <t>11</t>
        </is>
      </c>
      <c r="G69" s="105" t="n"/>
      <c r="H69" s="330" t="n"/>
      <c r="I69" s="105" t="n"/>
      <c r="J69" s="105" t="n"/>
      <c r="K69" s="105" t="n"/>
      <c r="L69" s="120">
        <f>IF(G69=$L$7,1,0)+IF(H69=$L$7,1,0)+IF(I69=$L$7,1,0)+IF(J69=$L$7,1,0)+IF(K69=$L$7,1,0)</f>
        <v/>
      </c>
      <c r="M69" s="120">
        <f>IF(G69=$M$7,1,0)+IF(H69=$M$7,1,0)+IF(I69=$M$7,1,0)+IF(J69=$M$7,1,0)+IF(K69=$M$7,1,0)</f>
        <v/>
      </c>
      <c r="N69" s="120">
        <f>IF(G69=$N$7,1,0)+IF(H69=$N$7,1,0)+IF(I69=$N$7,1,0)+IF(J69=$N$7,1,0)+IF(K69=$N$7,1,0)</f>
        <v/>
      </c>
      <c r="O69" s="120">
        <f>IF(G69=$O$7,1,0)+IF(H69=$O$7,1,0)+IF(I69=$O$7,1,0)+IF(J69=$O$7,1,0)+IF(K69=$O$7,1,0)</f>
        <v/>
      </c>
      <c r="P69" s="120">
        <f>IF(G69=$P$7,1,0)+IF(H69=$P$7,1,0)+IF(I69=$P$7,1,0)+IF(J69=$P$7,1,0)+IF(K69=$P$7,1,0)</f>
        <v/>
      </c>
      <c r="Q69" s="120">
        <f>IF(G69=$Q$7,1,0)+IF(H69=$Q$7,1,0)+IF(I69=$Q$7,1,0)+IF(J69=$Q$7,1,0)+IF(K69=$Q$7,1,0)</f>
        <v/>
      </c>
      <c r="R69" s="120">
        <f>IF(G69=$R$7,1,0)+IF(H69=$R$7,1,0)+IF(I69=$R$7,1,0)+IF(J69=$R$7,1,0)+IF(K69=$R$7,1,0)</f>
        <v/>
      </c>
      <c r="S69" s="120">
        <f>IF(G69=$S$7,1,0)+IF(H69=$S$7,1,0)+IF(I69=$S$7,1,0)+IF(J69=$S$7,1,0)+IF(K69=$S$7,1,0)</f>
        <v/>
      </c>
      <c r="T69" s="331">
        <f>IF(G69=$T$7,1,0)+IF(H69=$T$7,1,0)+IF(I69=$T$7,1,0)+IF(J69=$T$7,1,0)+IF(K69=$T$7,1,0)</f>
        <v/>
      </c>
      <c r="U69" s="331">
        <f>SUM(G69:K69)</f>
        <v/>
      </c>
      <c r="V69" s="332" t="n"/>
      <c r="W69" s="333">
        <f>IF(U69-V69&gt;0.1,1,0)</f>
        <v/>
      </c>
      <c r="X69" s="333">
        <f>U69-V69</f>
        <v/>
      </c>
      <c r="Y69" s="334" t="n"/>
      <c r="Z69" s="334" t="inlineStr">
        <is>
          <t>cắt cọc</t>
        </is>
      </c>
      <c r="AA69" s="350" t="n"/>
      <c r="AB69" s="350" t="n"/>
      <c r="AC69" s="350" t="n"/>
      <c r="AD69" s="350" t="n"/>
      <c r="AE69" s="350" t="n"/>
      <c r="AF69" s="350" t="n"/>
      <c r="AG69" s="350" t="n"/>
      <c r="AH69" s="350" t="n"/>
      <c r="AI69" s="350" t="n"/>
      <c r="AJ69" s="350" t="n"/>
      <c r="AK69" s="350" t="n"/>
      <c r="AL69" s="350" t="n"/>
      <c r="AM69" s="350" t="n"/>
      <c r="AN69" s="350" t="n"/>
      <c r="AO69" s="350" t="n"/>
      <c r="AP69" s="350" t="n"/>
      <c r="AQ69" s="350" t="n"/>
      <c r="AR69" s="350" t="n"/>
      <c r="AS69" s="350" t="n"/>
      <c r="AT69" s="350" t="n"/>
      <c r="AU69" s="350" t="n"/>
      <c r="AV69" s="350" t="n"/>
      <c r="AW69" s="350" t="n"/>
      <c r="AX69" s="350" t="n"/>
      <c r="AY69" s="350" t="n"/>
    </row>
    <row r="70" ht="25.05" customFormat="1" customHeight="1" s="86">
      <c r="A70" s="101" t="n">
        <v>47</v>
      </c>
      <c r="B70" s="349" t="inlineStr"/>
      <c r="C70" s="329" t="n"/>
      <c r="D70" s="103" t="inlineStr">
        <is>
          <t>115</t>
        </is>
      </c>
      <c r="E70" s="104" t="n"/>
      <c r="F70" s="103" t="inlineStr">
        <is>
          <t>11</t>
        </is>
      </c>
      <c r="G70" s="105" t="n"/>
      <c r="H70" s="330" t="n"/>
      <c r="I70" s="105" t="n"/>
      <c r="J70" s="105" t="n"/>
      <c r="K70" s="105" t="n"/>
      <c r="L70" s="120">
        <f>IF(G70=$L$7,1,0)+IF(H70=$L$7,1,0)+IF(I70=$L$7,1,0)+IF(J70=$L$7,1,0)+IF(K70=$L$7,1,0)</f>
        <v/>
      </c>
      <c r="M70" s="120">
        <f>IF(G70=$M$7,1,0)+IF(H70=$M$7,1,0)+IF(I70=$M$7,1,0)+IF(J70=$M$7,1,0)+IF(K70=$M$7,1,0)</f>
        <v/>
      </c>
      <c r="N70" s="120">
        <f>IF(G70=$N$7,1,0)+IF(H70=$N$7,1,0)+IF(I70=$N$7,1,0)+IF(J70=$N$7,1,0)+IF(K70=$N$7,1,0)</f>
        <v/>
      </c>
      <c r="O70" s="120">
        <f>IF(G70=$O$7,1,0)+IF(H70=$O$7,1,0)+IF(I70=$O$7,1,0)+IF(J70=$O$7,1,0)+IF(K70=$O$7,1,0)</f>
        <v/>
      </c>
      <c r="P70" s="120">
        <f>IF(G70=$P$7,1,0)+IF(H70=$P$7,1,0)+IF(I70=$P$7,1,0)+IF(J70=$P$7,1,0)+IF(K70=$P$7,1,0)</f>
        <v/>
      </c>
      <c r="Q70" s="120">
        <f>IF(G70=$Q$7,1,0)+IF(H70=$Q$7,1,0)+IF(I70=$Q$7,1,0)+IF(J70=$Q$7,1,0)+IF(K70=$Q$7,1,0)</f>
        <v/>
      </c>
      <c r="R70" s="120">
        <f>IF(G70=$R$7,1,0)+IF(H70=$R$7,1,0)+IF(I70=$R$7,1,0)+IF(J70=$R$7,1,0)+IF(K70=$R$7,1,0)</f>
        <v/>
      </c>
      <c r="S70" s="120">
        <f>IF(G70=$S$7,1,0)+IF(H70=$S$7,1,0)+IF(I70=$S$7,1,0)+IF(J70=$S$7,1,0)+IF(K70=$S$7,1,0)</f>
        <v/>
      </c>
      <c r="T70" s="331">
        <f>IF(G70=$T$7,1,0)+IF(H70=$T$7,1,0)+IF(I70=$T$7,1,0)+IF(J70=$T$7,1,0)+IF(K70=$T$7,1,0)</f>
        <v/>
      </c>
      <c r="U70" s="331">
        <f>SUM(G70:K70)</f>
        <v/>
      </c>
      <c r="V70" s="332" t="n"/>
      <c r="W70" s="333">
        <f>IF(U70-V70&gt;0.1,1,0)</f>
        <v/>
      </c>
      <c r="X70" s="333">
        <f>U70-V70</f>
        <v/>
      </c>
      <c r="Y70" s="334" t="n"/>
      <c r="Z70" s="334" t="inlineStr">
        <is>
          <t>cắt cọc</t>
        </is>
      </c>
      <c r="AA70" s="350" t="n"/>
      <c r="AB70" s="350" t="n"/>
      <c r="AC70" s="350" t="n"/>
      <c r="AD70" s="350" t="n"/>
      <c r="AE70" s="350" t="n"/>
      <c r="AF70" s="350" t="n"/>
      <c r="AG70" s="350" t="n"/>
      <c r="AH70" s="350" t="n"/>
      <c r="AI70" s="350" t="n"/>
      <c r="AJ70" s="350" t="n"/>
      <c r="AK70" s="350" t="n"/>
      <c r="AL70" s="350" t="n"/>
      <c r="AM70" s="350" t="n"/>
      <c r="AN70" s="350" t="n"/>
      <c r="AO70" s="350" t="n"/>
      <c r="AP70" s="350" t="n"/>
      <c r="AQ70" s="350" t="n"/>
      <c r="AR70" s="350" t="n"/>
      <c r="AS70" s="350" t="n"/>
      <c r="AT70" s="350" t="n"/>
      <c r="AU70" s="350" t="n"/>
      <c r="AV70" s="350" t="n"/>
      <c r="AW70" s="350" t="n"/>
      <c r="AX70" s="350" t="n"/>
      <c r="AY70" s="350" t="n"/>
    </row>
    <row r="71" ht="25.05" customFormat="1" customHeight="1" s="86">
      <c r="A71" s="101" t="n">
        <v>48</v>
      </c>
      <c r="B71" s="349" t="inlineStr"/>
      <c r="C71" s="329" t="n"/>
      <c r="D71" s="103" t="inlineStr">
        <is>
          <t>141</t>
        </is>
      </c>
      <c r="E71" s="104" t="n"/>
      <c r="F71" s="103" t="inlineStr">
        <is>
          <t>11</t>
        </is>
      </c>
      <c r="G71" s="105" t="n"/>
      <c r="H71" s="330" t="n"/>
      <c r="I71" s="105" t="n"/>
      <c r="J71" s="105" t="n"/>
      <c r="K71" s="105" t="n"/>
      <c r="L71" s="120">
        <f>IF(G71=$L$7,1,0)+IF(H71=$L$7,1,0)+IF(I71=$L$7,1,0)+IF(J71=$L$7,1,0)+IF(K71=$L$7,1,0)</f>
        <v/>
      </c>
      <c r="M71" s="120">
        <f>IF(G71=$M$7,1,0)+IF(H71=$M$7,1,0)+IF(I71=$M$7,1,0)+IF(J71=$M$7,1,0)+IF(K71=$M$7,1,0)</f>
        <v/>
      </c>
      <c r="N71" s="120">
        <f>IF(G71=$N$7,1,0)+IF(H71=$N$7,1,0)+IF(I71=$N$7,1,0)+IF(J71=$N$7,1,0)+IF(K71=$N$7,1,0)</f>
        <v/>
      </c>
      <c r="O71" s="120">
        <f>IF(G71=$O$7,1,0)+IF(H71=$O$7,1,0)+IF(I71=$O$7,1,0)+IF(J71=$O$7,1,0)+IF(K71=$O$7,1,0)</f>
        <v/>
      </c>
      <c r="P71" s="120">
        <f>IF(G71=$P$7,1,0)+IF(H71=$P$7,1,0)+IF(I71=$P$7,1,0)+IF(J71=$P$7,1,0)+IF(K71=$P$7,1,0)</f>
        <v/>
      </c>
      <c r="Q71" s="120">
        <f>IF(G71=$Q$7,1,0)+IF(H71=$Q$7,1,0)+IF(I71=$Q$7,1,0)+IF(J71=$Q$7,1,0)+IF(K71=$Q$7,1,0)</f>
        <v/>
      </c>
      <c r="R71" s="120">
        <f>IF(G71=$R$7,1,0)+IF(H71=$R$7,1,0)+IF(I71=$R$7,1,0)+IF(J71=$R$7,1,0)+IF(K71=$R$7,1,0)</f>
        <v/>
      </c>
      <c r="S71" s="120">
        <f>IF(G71=$S$7,1,0)+IF(H71=$S$7,1,0)+IF(I71=$S$7,1,0)+IF(J71=$S$7,1,0)+IF(K71=$S$7,1,0)</f>
        <v/>
      </c>
      <c r="T71" s="331">
        <f>IF(G71=$T$7,1,0)+IF(H71=$T$7,1,0)+IF(I71=$T$7,1,0)+IF(J71=$T$7,1,0)+IF(K71=$T$7,1,0)</f>
        <v/>
      </c>
      <c r="U71" s="331">
        <f>SUM(G71:K71)</f>
        <v/>
      </c>
      <c r="V71" s="332" t="n"/>
      <c r="W71" s="333">
        <f>IF(U71-V71&gt;0.1,1,0)</f>
        <v/>
      </c>
      <c r="X71" s="333">
        <f>U71-V71</f>
        <v/>
      </c>
      <c r="Y71" s="334" t="n"/>
      <c r="Z71" s="334" t="inlineStr"/>
      <c r="AA71" s="350" t="n"/>
      <c r="AB71" s="350" t="n"/>
      <c r="AC71" s="350" t="n"/>
      <c r="AD71" s="350" t="n"/>
      <c r="AE71" s="350" t="n"/>
      <c r="AF71" s="350" t="n"/>
      <c r="AG71" s="350" t="n"/>
      <c r="AH71" s="350" t="n"/>
      <c r="AI71" s="350" t="n"/>
      <c r="AJ71" s="350" t="n"/>
      <c r="AK71" s="350" t="n"/>
      <c r="AL71" s="350" t="n"/>
      <c r="AM71" s="350" t="n"/>
      <c r="AN71" s="350" t="n"/>
      <c r="AO71" s="350" t="n"/>
      <c r="AP71" s="350" t="n"/>
      <c r="AQ71" s="350" t="n"/>
      <c r="AR71" s="350" t="n"/>
      <c r="AS71" s="350" t="n"/>
      <c r="AT71" s="350" t="n"/>
      <c r="AU71" s="350" t="n"/>
      <c r="AV71" s="350" t="n"/>
      <c r="AW71" s="350" t="n"/>
      <c r="AX71" s="350" t="n"/>
      <c r="AY71" s="350" t="n"/>
    </row>
    <row r="72" ht="25.05" customFormat="1" customHeight="1" s="86">
      <c r="A72" s="101" t="n">
        <v>49</v>
      </c>
      <c r="B72" s="349" t="inlineStr"/>
      <c r="C72" s="329" t="n"/>
      <c r="D72" s="103" t="inlineStr">
        <is>
          <t>142</t>
        </is>
      </c>
      <c r="E72" s="104" t="n"/>
      <c r="F72" s="103" t="inlineStr">
        <is>
          <t>11</t>
        </is>
      </c>
      <c r="G72" s="105" t="n"/>
      <c r="H72" s="330" t="n"/>
      <c r="I72" s="105" t="n"/>
      <c r="J72" s="105" t="n"/>
      <c r="K72" s="105" t="n"/>
      <c r="L72" s="120">
        <f>IF(G72=$L$7,1,0)+IF(H72=$L$7,1,0)+IF(I72=$L$7,1,0)+IF(J72=$L$7,1,0)+IF(K72=$L$7,1,0)</f>
        <v/>
      </c>
      <c r="M72" s="120">
        <f>IF(G72=$M$7,1,0)+IF(H72=$M$7,1,0)+IF(I72=$M$7,1,0)+IF(J72=$M$7,1,0)+IF(K72=$M$7,1,0)</f>
        <v/>
      </c>
      <c r="N72" s="120">
        <f>IF(G72=$N$7,1,0)+IF(H72=$N$7,1,0)+IF(I72=$N$7,1,0)+IF(J72=$N$7,1,0)+IF(K72=$N$7,1,0)</f>
        <v/>
      </c>
      <c r="O72" s="120">
        <f>IF(G72=$O$7,1,0)+IF(H72=$O$7,1,0)+IF(I72=$O$7,1,0)+IF(J72=$O$7,1,0)+IF(K72=$O$7,1,0)</f>
        <v/>
      </c>
      <c r="P72" s="120">
        <f>IF(G72=$P$7,1,0)+IF(H72=$P$7,1,0)+IF(I72=$P$7,1,0)+IF(J72=$P$7,1,0)+IF(K72=$P$7,1,0)</f>
        <v/>
      </c>
      <c r="Q72" s="120">
        <f>IF(G72=$Q$7,1,0)+IF(H72=$Q$7,1,0)+IF(I72=$Q$7,1,0)+IF(J72=$Q$7,1,0)+IF(K72=$Q$7,1,0)</f>
        <v/>
      </c>
      <c r="R72" s="120">
        <f>IF(G72=$R$7,1,0)+IF(H72=$R$7,1,0)+IF(I72=$R$7,1,0)+IF(J72=$R$7,1,0)+IF(K72=$R$7,1,0)</f>
        <v/>
      </c>
      <c r="S72" s="120">
        <f>IF(G72=$S$7,1,0)+IF(H72=$S$7,1,0)+IF(I72=$S$7,1,0)+IF(J72=$S$7,1,0)+IF(K72=$S$7,1,0)</f>
        <v/>
      </c>
      <c r="T72" s="331">
        <f>IF(G72=$T$7,1,0)+IF(H72=$T$7,1,0)+IF(I72=$T$7,1,0)+IF(J72=$T$7,1,0)+IF(K72=$T$7,1,0)</f>
        <v/>
      </c>
      <c r="U72" s="331">
        <f>SUM(G72:K72)</f>
        <v/>
      </c>
      <c r="V72" s="332" t="n"/>
      <c r="W72" s="333">
        <f>IF(U72-V72&gt;0.1,1,0)</f>
        <v/>
      </c>
      <c r="X72" s="333">
        <f>U72-V72</f>
        <v/>
      </c>
      <c r="Y72" s="334" t="n"/>
      <c r="Z72" s="334" t="inlineStr"/>
      <c r="AA72" s="350" t="n"/>
      <c r="AB72" s="350" t="n"/>
      <c r="AC72" s="350" t="n"/>
      <c r="AD72" s="350" t="n"/>
      <c r="AE72" s="350" t="n"/>
      <c r="AF72" s="350" t="n"/>
      <c r="AG72" s="350" t="n"/>
      <c r="AH72" s="350" t="n"/>
      <c r="AI72" s="350" t="n"/>
      <c r="AJ72" s="350" t="n"/>
      <c r="AK72" s="350" t="n"/>
      <c r="AL72" s="350" t="n"/>
      <c r="AM72" s="350" t="n"/>
      <c r="AN72" s="350" t="n"/>
      <c r="AO72" s="350" t="n"/>
      <c r="AP72" s="350" t="n"/>
      <c r="AQ72" s="350" t="n"/>
      <c r="AR72" s="350" t="n"/>
      <c r="AS72" s="350" t="n"/>
      <c r="AT72" s="350" t="n"/>
      <c r="AU72" s="350" t="n"/>
      <c r="AV72" s="350" t="n"/>
      <c r="AW72" s="350" t="n"/>
      <c r="AX72" s="350" t="n"/>
      <c r="AY72" s="350" t="n"/>
    </row>
    <row r="73" ht="25.05" customFormat="1" customHeight="1" s="86">
      <c r="A73" s="101" t="n">
        <v>50</v>
      </c>
      <c r="B73" s="349" t="inlineStr"/>
      <c r="C73" s="329" t="n"/>
      <c r="D73" s="103" t="inlineStr">
        <is>
          <t>143</t>
        </is>
      </c>
      <c r="E73" s="104" t="n"/>
      <c r="F73" s="103" t="inlineStr">
        <is>
          <t>11</t>
        </is>
      </c>
      <c r="G73" s="105" t="n"/>
      <c r="H73" s="330" t="n"/>
      <c r="I73" s="105" t="n"/>
      <c r="J73" s="105" t="n"/>
      <c r="K73" s="105" t="n"/>
      <c r="L73" s="120">
        <f>IF(G73=$L$7,1,0)+IF(H73=$L$7,1,0)+IF(I73=$L$7,1,0)+IF(J73=$L$7,1,0)+IF(K73=$L$7,1,0)</f>
        <v/>
      </c>
      <c r="M73" s="120">
        <f>IF(G73=$M$7,1,0)+IF(H73=$M$7,1,0)+IF(I73=$M$7,1,0)+IF(J73=$M$7,1,0)+IF(K73=$M$7,1,0)</f>
        <v/>
      </c>
      <c r="N73" s="120">
        <f>IF(G73=$N$7,1,0)+IF(H73=$N$7,1,0)+IF(I73=$N$7,1,0)+IF(J73=$N$7,1,0)+IF(K73=$N$7,1,0)</f>
        <v/>
      </c>
      <c r="O73" s="120">
        <f>IF(G73=$O$7,1,0)+IF(H73=$O$7,1,0)+IF(I73=$O$7,1,0)+IF(J73=$O$7,1,0)+IF(K73=$O$7,1,0)</f>
        <v/>
      </c>
      <c r="P73" s="120">
        <f>IF(G73=$P$7,1,0)+IF(H73=$P$7,1,0)+IF(I73=$P$7,1,0)+IF(J73=$P$7,1,0)+IF(K73=$P$7,1,0)</f>
        <v/>
      </c>
      <c r="Q73" s="120">
        <f>IF(G73=$Q$7,1,0)+IF(H73=$Q$7,1,0)+IF(I73=$Q$7,1,0)+IF(J73=$Q$7,1,0)+IF(K73=$Q$7,1,0)</f>
        <v/>
      </c>
      <c r="R73" s="120">
        <f>IF(G73=$R$7,1,0)+IF(H73=$R$7,1,0)+IF(I73=$R$7,1,0)+IF(J73=$R$7,1,0)+IF(K73=$R$7,1,0)</f>
        <v/>
      </c>
      <c r="S73" s="120">
        <f>IF(G73=$S$7,1,0)+IF(H73=$S$7,1,0)+IF(I73=$S$7,1,0)+IF(J73=$S$7,1,0)+IF(K73=$S$7,1,0)</f>
        <v/>
      </c>
      <c r="T73" s="331">
        <f>IF(G73=$T$7,1,0)+IF(H73=$T$7,1,0)+IF(I73=$T$7,1,0)+IF(J73=$T$7,1,0)+IF(K73=$T$7,1,0)</f>
        <v/>
      </c>
      <c r="U73" s="331">
        <f>SUM(G73:K73)</f>
        <v/>
      </c>
      <c r="V73" s="332" t="n"/>
      <c r="W73" s="333">
        <f>IF(U73-V73&gt;0.1,1,0)</f>
        <v/>
      </c>
      <c r="X73" s="333">
        <f>U73-V73</f>
        <v/>
      </c>
      <c r="Y73" s="334" t="n"/>
      <c r="Z73" s="334" t="inlineStr"/>
      <c r="AA73" s="350" t="n"/>
      <c r="AB73" s="350" t="n"/>
      <c r="AC73" s="350" t="n"/>
      <c r="AD73" s="350" t="n"/>
      <c r="AE73" s="350" t="n"/>
      <c r="AF73" s="350" t="n"/>
      <c r="AG73" s="350" t="n"/>
      <c r="AH73" s="350" t="n"/>
      <c r="AI73" s="350" t="n"/>
      <c r="AJ73" s="350" t="n"/>
      <c r="AK73" s="350" t="n"/>
      <c r="AL73" s="350" t="n"/>
      <c r="AM73" s="350" t="n"/>
      <c r="AN73" s="350" t="n"/>
      <c r="AO73" s="350" t="n"/>
      <c r="AP73" s="350" t="n"/>
      <c r="AQ73" s="350" t="n"/>
      <c r="AR73" s="350" t="n"/>
      <c r="AS73" s="350" t="n"/>
      <c r="AT73" s="350" t="n"/>
      <c r="AU73" s="350" t="n"/>
      <c r="AV73" s="350" t="n"/>
      <c r="AW73" s="350" t="n"/>
      <c r="AX73" s="350" t="n"/>
      <c r="AY73" s="350" t="n"/>
    </row>
    <row r="74" ht="25.05" customFormat="1" customHeight="1" s="86">
      <c r="A74" s="240" t="inlineStr">
        <is>
          <t>TỔNG</t>
        </is>
      </c>
      <c r="B74" s="324" t="n"/>
      <c r="C74" s="324" t="n"/>
      <c r="D74" s="324" t="n"/>
      <c r="E74" s="324" t="n"/>
      <c r="F74" s="325" t="n"/>
      <c r="G74" s="240" t="n"/>
      <c r="H74" s="336" t="n"/>
      <c r="I74" s="240" t="n"/>
      <c r="J74" s="240" t="n"/>
      <c r="K74" s="240" t="n"/>
      <c r="L74" s="121">
        <f>SUM(L8:L73)</f>
        <v/>
      </c>
      <c r="M74" s="121">
        <f>SUM(M8:M73)</f>
        <v/>
      </c>
      <c r="N74" s="121">
        <f>SUM(N8:N73)</f>
        <v/>
      </c>
      <c r="O74" s="121">
        <f>SUM(O8:O73)</f>
        <v/>
      </c>
      <c r="P74" s="121">
        <f>SUM(P8:P73)</f>
        <v/>
      </c>
      <c r="Q74" s="121">
        <f>SUM(Q8:Q73)</f>
        <v/>
      </c>
      <c r="R74" s="121">
        <f>SUM(R8:R73)</f>
        <v/>
      </c>
      <c r="S74" s="121">
        <f>SUM(S8:S73)</f>
        <v/>
      </c>
      <c r="T74" s="121">
        <f>SUM(T8:T73)</f>
        <v/>
      </c>
      <c r="U74" s="339" t="n"/>
      <c r="V74" s="340">
        <f>SUM(V16:V73)</f>
        <v/>
      </c>
      <c r="W74" s="341">
        <f>SUM(W8:W73)</f>
        <v/>
      </c>
      <c r="X74" s="341" t="n"/>
      <c r="Y74" s="139" t="n"/>
      <c r="Z74" s="342" t="n"/>
    </row>
    <row r="75" ht="25.05" customFormat="1" customHeight="1" s="86">
      <c r="A75" s="113" t="n"/>
      <c r="B75" s="337" t="n"/>
      <c r="C75" s="337" t="n"/>
      <c r="D75" s="113" t="n"/>
      <c r="E75" s="113" t="n"/>
      <c r="F75" s="113" t="n"/>
      <c r="G75" s="115" t="n"/>
      <c r="H75" s="338" t="n"/>
      <c r="I75" s="113" t="n"/>
      <c r="J75" s="113" t="n"/>
      <c r="K75" s="113" t="n"/>
      <c r="L75" s="261" t="n"/>
      <c r="M75" s="261" t="n"/>
      <c r="N75" s="261" t="n"/>
      <c r="O75" s="261" t="n"/>
      <c r="P75" s="261" t="n"/>
      <c r="Q75" s="261" t="n"/>
      <c r="T75" s="113" t="n"/>
      <c r="U75" s="113" t="n"/>
      <c r="V75" s="343">
        <f>SUM(V20:V60)</f>
        <v/>
      </c>
      <c r="W75" s="132" t="n"/>
      <c r="X75" s="132" t="n"/>
      <c r="Y75" s="344" t="n"/>
      <c r="Z75" s="344" t="n"/>
    </row>
    <row r="76" ht="25.05" customFormat="1" customHeight="1" s="86">
      <c r="A76" s="113" t="n"/>
      <c r="B76" s="337" t="n"/>
      <c r="C76" s="337" t="n"/>
      <c r="D76" s="113" t="n"/>
      <c r="E76" s="113" t="n"/>
      <c r="F76" s="113" t="n"/>
      <c r="G76" s="113" t="n"/>
      <c r="H76" s="338" t="n"/>
      <c r="I76" s="113" t="n"/>
      <c r="J76" s="113" t="n"/>
      <c r="K76" s="113" t="n"/>
      <c r="L76" s="261" t="n"/>
      <c r="M76" s="261" t="n"/>
      <c r="N76" s="261" t="n"/>
      <c r="O76" s="261" t="n"/>
      <c r="P76" s="261" t="n"/>
      <c r="Q76" s="261" t="n"/>
      <c r="R76" s="261" t="n"/>
      <c r="S76" s="113" t="n"/>
      <c r="T76" s="113" t="n"/>
      <c r="U76" s="261" t="n"/>
      <c r="V76" s="345" t="n"/>
      <c r="W76" s="132" t="n"/>
      <c r="X76" s="343" t="n"/>
      <c r="Y76" s="346" t="n"/>
      <c r="Z76" s="346" t="n"/>
    </row>
    <row r="77" ht="25.05" customFormat="1" customHeight="1" s="86">
      <c r="A77" s="260" t="inlineStr">
        <is>
          <t>Loại cọc (theo chiều dài)</t>
        </is>
      </c>
      <c r="B77" s="351" t="n"/>
      <c r="C77" s="351" t="n"/>
      <c r="D77" s="351" t="n"/>
      <c r="E77" s="351" t="n"/>
      <c r="F77" s="351" t="n"/>
      <c r="G77" s="351" t="n"/>
      <c r="H77" s="351" t="n"/>
      <c r="I77" s="351" t="n"/>
      <c r="J77" s="351" t="n"/>
      <c r="K77" s="352" t="n"/>
      <c r="L77" s="123" t="n">
        <v>6</v>
      </c>
      <c r="M77" s="123" t="n">
        <v>7</v>
      </c>
      <c r="N77" s="123" t="n">
        <v>8</v>
      </c>
      <c r="O77" s="123" t="n">
        <v>9</v>
      </c>
      <c r="P77" s="123" t="n">
        <v>10</v>
      </c>
      <c r="Q77" s="123" t="n">
        <v>11</v>
      </c>
      <c r="R77" s="123" t="n">
        <v>12</v>
      </c>
      <c r="S77" s="260" t="n">
        <v>13</v>
      </c>
      <c r="T77" s="113" t="n"/>
      <c r="U77" s="113" t="n"/>
      <c r="V77" s="229" t="n"/>
      <c r="X77" s="347" t="n"/>
      <c r="Z77" s="346" t="n"/>
    </row>
    <row r="78" ht="25.05" customFormat="1" customHeight="1" s="86">
      <c r="A78" s="260" t="inlineStr">
        <is>
          <t>Loại cọc</t>
        </is>
      </c>
      <c r="B78" s="351" t="n"/>
      <c r="C78" s="351" t="n"/>
      <c r="D78" s="351" t="n"/>
      <c r="E78" s="352" t="n"/>
      <c r="F78" s="260" t="inlineStr">
        <is>
          <t>D350</t>
        </is>
      </c>
      <c r="G78" s="351" t="n"/>
      <c r="H78" s="351" t="n"/>
      <c r="I78" s="351" t="n"/>
      <c r="J78" s="351" t="n"/>
      <c r="K78" s="352" t="n"/>
      <c r="L78" s="143">
        <f>L61</f>
        <v/>
      </c>
      <c r="M78" s="143">
        <f>M61</f>
        <v/>
      </c>
      <c r="N78" s="143">
        <f>N61</f>
        <v/>
      </c>
      <c r="O78" s="143">
        <f>O61</f>
        <v/>
      </c>
      <c r="P78" s="143">
        <f>P61</f>
        <v/>
      </c>
      <c r="Q78" s="143">
        <f>Q61</f>
        <v/>
      </c>
      <c r="R78" s="143">
        <f>R61</f>
        <v/>
      </c>
      <c r="S78" s="146">
        <f>S61</f>
        <v/>
      </c>
      <c r="T78" s="147" t="n"/>
      <c r="U78" s="147" t="n"/>
      <c r="V78" s="229" t="n"/>
      <c r="X78" s="347" t="n"/>
      <c r="Z78" s="147" t="n"/>
    </row>
    <row r="79" ht="25.05" customFormat="1" customHeight="1" s="86">
      <c r="A79" s="260" t="inlineStr">
        <is>
          <t>Tổng</t>
        </is>
      </c>
      <c r="B79" s="351" t="n"/>
      <c r="C79" s="351" t="n"/>
      <c r="D79" s="351" t="n"/>
      <c r="E79" s="351" t="n"/>
      <c r="F79" s="351" t="n"/>
      <c r="G79" s="351" t="n"/>
      <c r="H79" s="351" t="n"/>
      <c r="I79" s="351" t="n"/>
      <c r="J79" s="351" t="n"/>
      <c r="K79" s="352" t="n"/>
      <c r="L79" s="143">
        <f>+L65</f>
        <v/>
      </c>
      <c r="M79" s="143">
        <f>+M65</f>
        <v/>
      </c>
      <c r="N79" s="143">
        <f>+N65</f>
        <v/>
      </c>
      <c r="O79" s="143">
        <f>+O65</f>
        <v/>
      </c>
      <c r="P79" s="143">
        <f>+P65</f>
        <v/>
      </c>
      <c r="Q79" s="143">
        <f>+Q65</f>
        <v/>
      </c>
      <c r="R79" s="143">
        <f>+R65</f>
        <v/>
      </c>
      <c r="S79" s="146">
        <f>S65</f>
        <v/>
      </c>
      <c r="T79" s="147" t="n"/>
      <c r="U79" s="147" t="n"/>
      <c r="V79" s="261" t="n"/>
      <c r="W79" s="132" t="n"/>
      <c r="X79" s="132" t="n"/>
      <c r="Y79" s="344" t="n"/>
      <c r="Z79" s="344" t="n"/>
    </row>
    <row r="80" ht="25.05" customFormat="1" customHeight="1" s="86">
      <c r="A80" s="113" t="n"/>
      <c r="B80" s="337" t="n"/>
      <c r="C80" s="337" t="n"/>
      <c r="D80" s="113" t="n"/>
      <c r="E80" s="113" t="n"/>
      <c r="F80" s="113" t="n"/>
      <c r="G80" s="113" t="n"/>
      <c r="H80" s="338" t="n"/>
      <c r="I80" s="113" t="n"/>
      <c r="J80" s="113" t="n"/>
      <c r="K80" s="113" t="n"/>
      <c r="L80" s="261" t="n"/>
      <c r="M80" s="261" t="n"/>
      <c r="N80" s="261" t="n"/>
      <c r="O80" s="261" t="n"/>
      <c r="P80" s="261" t="n"/>
      <c r="Q80" s="261" t="n"/>
      <c r="R80" s="261" t="n"/>
      <c r="S80" s="147" t="n"/>
      <c r="T80" s="147" t="n"/>
      <c r="U80" s="147" t="n"/>
      <c r="V80" s="343" t="n"/>
      <c r="W80" s="132" t="n"/>
      <c r="X80" s="132" t="n"/>
      <c r="Y80" s="344" t="n"/>
      <c r="Z80" s="344" t="n"/>
    </row>
    <row r="81" ht="25.05" customFormat="1" customHeight="1" s="86">
      <c r="A81" s="201" t="inlineStr">
        <is>
          <t>CÔNG TY TNHH NISHIMATSU VIỆT NAM</t>
        </is>
      </c>
      <c r="K81" s="144" t="n"/>
      <c r="L81" s="145" t="n"/>
      <c r="M81" s="145" t="n"/>
      <c r="N81" s="145" t="n"/>
      <c r="O81" s="145" t="n"/>
      <c r="P81" s="145" t="n"/>
      <c r="Q81" s="145" t="n"/>
      <c r="R81" s="145" t="n"/>
      <c r="S81" s="145" t="n"/>
      <c r="T81" s="145" t="n"/>
      <c r="U81" s="145" t="n"/>
      <c r="V81" s="201" t="inlineStr">
        <is>
          <t>CÔNG TY TNHH XÂY DỰNG &amp; XỬ LÝ NỀN MÓNG VIỆT HÙNG</t>
        </is>
      </c>
      <c r="Z81" s="145" t="n"/>
    </row>
    <row r="82" ht="25.05" customFormat="1" customHeight="1" s="86">
      <c r="B82" s="88" t="n"/>
      <c r="E82" s="89" t="n"/>
      <c r="H82" s="312" t="n"/>
      <c r="Y82" s="1" t="n"/>
    </row>
    <row r="83" ht="25.05" customFormat="1" customHeight="1" s="86">
      <c r="B83" s="88" t="n"/>
      <c r="E83" s="89" t="n"/>
      <c r="H83" s="312" t="n"/>
      <c r="Y83" s="1" t="n"/>
    </row>
    <row r="84" ht="25.05" customFormat="1" customHeight="1" s="86">
      <c r="B84" s="88" t="n"/>
      <c r="E84" s="89" t="n"/>
      <c r="H84" s="312" t="n"/>
      <c r="Y84" s="1" t="n"/>
    </row>
    <row r="85" ht="25.05" customFormat="1" customHeight="1" s="86">
      <c r="B85" s="88" t="n"/>
      <c r="E85" s="89" t="n"/>
      <c r="H85" s="312" t="n"/>
      <c r="Y85" s="1" t="n"/>
    </row>
    <row r="86" ht="25.05" customFormat="1" customHeight="1" s="86">
      <c r="B86" s="88" t="n"/>
      <c r="E86" s="89" t="n"/>
      <c r="H86" s="312" t="n"/>
      <c r="Y86" s="1" t="n"/>
    </row>
    <row r="87" ht="25.05" customFormat="1" customHeight="1" s="86">
      <c r="B87" s="88" t="n"/>
      <c r="E87" s="89" t="n"/>
      <c r="H87" s="312" t="n"/>
      <c r="Y87" s="1" t="n"/>
    </row>
    <row r="88" ht="25.05" customFormat="1" customHeight="1" s="86">
      <c r="B88" s="88" t="n"/>
      <c r="E88" s="89" t="n"/>
      <c r="H88" s="312" t="n"/>
      <c r="Y88" s="1" t="n"/>
    </row>
    <row r="89" ht="25.05" customFormat="1" customHeight="1" s="86">
      <c r="B89" s="88" t="n"/>
      <c r="E89" s="89" t="n"/>
      <c r="H89" s="312" t="n"/>
      <c r="Y89" s="1" t="n"/>
    </row>
    <row r="90" ht="25.05" customFormat="1" customHeight="1" s="86">
      <c r="B90" s="88" t="n"/>
      <c r="E90" s="89" t="n"/>
      <c r="H90" s="312" t="n"/>
      <c r="Y90" s="1" t="n"/>
    </row>
    <row r="91" ht="25.05" customFormat="1" customHeight="1" s="86">
      <c r="B91" s="88" t="n"/>
      <c r="E91" s="89" t="n"/>
      <c r="H91" s="312" t="n"/>
      <c r="Y91" s="1" t="n"/>
    </row>
    <row r="92" ht="25.05" customFormat="1" customHeight="1" s="86">
      <c r="B92" s="88" t="n"/>
      <c r="E92" s="89" t="n"/>
      <c r="H92" s="312" t="n"/>
      <c r="Y92" s="1" t="n"/>
    </row>
    <row r="93" ht="25.05" customFormat="1" customHeight="1" s="86">
      <c r="B93" s="88" t="n"/>
      <c r="E93" s="89" t="n"/>
      <c r="H93" s="312" t="n"/>
      <c r="Y93" s="1" t="n"/>
    </row>
    <row r="94" ht="25.05" customFormat="1" customHeight="1" s="86">
      <c r="B94" s="88" t="n"/>
      <c r="E94" s="89" t="n"/>
      <c r="H94" s="312" t="n"/>
      <c r="Y94" s="1" t="n"/>
    </row>
    <row r="95" ht="25.05" customFormat="1" customHeight="1" s="86">
      <c r="B95" s="88" t="n"/>
      <c r="E95" s="89" t="n"/>
      <c r="H95" s="312" t="n"/>
      <c r="Y95" s="1" t="n"/>
    </row>
    <row r="96" ht="25.05" customFormat="1" customHeight="1" s="86">
      <c r="B96" s="88" t="n"/>
      <c r="E96" s="89" t="n"/>
      <c r="H96" s="312" t="n"/>
      <c r="Y96" s="1" t="n"/>
    </row>
    <row r="97" ht="25.05" customFormat="1" customHeight="1" s="86">
      <c r="B97" s="88" t="n"/>
      <c r="E97" s="89" t="n"/>
      <c r="H97" s="312" t="n"/>
      <c r="Y97" s="1" t="n"/>
    </row>
    <row r="98" ht="25.05" customFormat="1" customHeight="1" s="86">
      <c r="B98" s="88" t="n"/>
      <c r="E98" s="89" t="n"/>
      <c r="H98" s="312" t="n"/>
      <c r="Y98" s="1" t="n"/>
    </row>
    <row r="99" ht="25.05" customFormat="1" customHeight="1" s="86">
      <c r="B99" s="88" t="n"/>
      <c r="E99" s="89" t="n"/>
      <c r="H99" s="312" t="n"/>
      <c r="Y99" s="1" t="n"/>
    </row>
    <row r="100" ht="25.05" customFormat="1" customHeight="1" s="86">
      <c r="B100" s="88" t="n"/>
      <c r="E100" s="89" t="n"/>
      <c r="H100" s="312" t="n"/>
      <c r="Y100" s="1" t="n"/>
    </row>
    <row r="101" ht="25.05" customFormat="1" customHeight="1" s="86">
      <c r="B101" s="88" t="n"/>
      <c r="E101" s="89" t="n"/>
      <c r="H101" s="312" t="n"/>
      <c r="Y101" s="1" t="n"/>
    </row>
    <row r="102" ht="25.05" customFormat="1" customHeight="1" s="86">
      <c r="B102" s="88" t="n"/>
      <c r="E102" s="89" t="n"/>
      <c r="H102" s="312" t="n"/>
      <c r="Y102" s="1" t="n"/>
    </row>
    <row r="103" ht="25.05" customFormat="1" customHeight="1" s="86">
      <c r="B103" s="88" t="n"/>
      <c r="E103" s="89" t="n"/>
      <c r="H103" s="312" t="n"/>
      <c r="Y103" s="1" t="n"/>
    </row>
    <row r="104" ht="25.05" customFormat="1" customHeight="1" s="86">
      <c r="B104" s="88" t="n"/>
      <c r="E104" s="89" t="n"/>
      <c r="H104" s="312" t="n"/>
      <c r="Y104" s="1" t="n"/>
    </row>
    <row r="105" ht="25.05" customFormat="1" customHeight="1" s="86">
      <c r="B105" s="88" t="n"/>
      <c r="E105" s="89" t="n"/>
      <c r="H105" s="312" t="n"/>
      <c r="Y105" s="1" t="n"/>
    </row>
    <row r="106" ht="25.05" customFormat="1" customHeight="1" s="86">
      <c r="B106" s="88" t="n"/>
      <c r="E106" s="89" t="n"/>
      <c r="H106" s="312" t="n"/>
      <c r="Y106" s="1" t="n"/>
    </row>
    <row r="107" ht="25.05" customFormat="1" customHeight="1" s="86">
      <c r="B107" s="88" t="n"/>
      <c r="E107" s="89" t="n"/>
      <c r="H107" s="312" t="n"/>
      <c r="Y107" s="1" t="n"/>
    </row>
    <row r="108" ht="25.05" customFormat="1" customHeight="1" s="86">
      <c r="B108" s="88" t="n"/>
      <c r="E108" s="89" t="n"/>
      <c r="H108" s="312" t="n"/>
      <c r="Y108" s="1" t="n"/>
    </row>
    <row r="109" ht="25.05" customFormat="1" customHeight="1" s="86">
      <c r="B109" s="88" t="n"/>
      <c r="E109" s="89" t="n"/>
      <c r="H109" s="312" t="n"/>
      <c r="Y109" s="1" t="n"/>
    </row>
    <row r="110" ht="25.05" customFormat="1" customHeight="1" s="86">
      <c r="B110" s="88" t="n"/>
      <c r="E110" s="89" t="n"/>
      <c r="H110" s="312" t="n"/>
      <c r="Y110" s="1" t="n"/>
    </row>
    <row r="111" ht="25.05" customFormat="1" customHeight="1" s="86">
      <c r="B111" s="88" t="n"/>
      <c r="E111" s="89" t="n"/>
      <c r="H111" s="312" t="n"/>
      <c r="Y111" s="1" t="n"/>
    </row>
    <row r="112" ht="25.05" customFormat="1" customHeight="1" s="86">
      <c r="B112" s="88" t="n"/>
      <c r="E112" s="89" t="n"/>
      <c r="H112" s="312" t="n"/>
      <c r="Y112" s="1" t="n"/>
    </row>
    <row r="113" ht="25.05" customFormat="1" customHeight="1" s="86">
      <c r="B113" s="88" t="n"/>
      <c r="E113" s="89" t="n"/>
      <c r="H113" s="312" t="n"/>
      <c r="Y113" s="1" t="n"/>
    </row>
    <row r="114" ht="25.05" customFormat="1" customHeight="1" s="86">
      <c r="B114" s="88" t="n"/>
      <c r="E114" s="89" t="n"/>
      <c r="H114" s="312" t="n"/>
      <c r="Y114" s="1" t="n"/>
    </row>
    <row r="115" ht="25.05" customFormat="1" customHeight="1" s="86">
      <c r="B115" s="88" t="n"/>
      <c r="E115" s="89" t="n"/>
      <c r="H115" s="312" t="n"/>
      <c r="Y115" s="1" t="n"/>
    </row>
    <row r="116" ht="25.05" customFormat="1" customHeight="1" s="86">
      <c r="B116" s="88" t="n"/>
      <c r="E116" s="89" t="n"/>
      <c r="H116" s="312" t="n"/>
      <c r="Y116" s="1" t="n"/>
    </row>
    <row r="117" ht="25.05" customFormat="1" customHeight="1" s="86">
      <c r="B117" s="88" t="n"/>
      <c r="E117" s="89" t="n"/>
      <c r="H117" s="312" t="n"/>
      <c r="Y117" s="1" t="n"/>
    </row>
    <row r="118" ht="25.05" customFormat="1" customHeight="1" s="86">
      <c r="B118" s="88" t="n"/>
      <c r="E118" s="89" t="n"/>
      <c r="H118" s="312" t="n"/>
      <c r="Y118" s="1" t="n"/>
    </row>
    <row r="119" ht="25.05" customFormat="1" customHeight="1" s="86">
      <c r="B119" s="88" t="n"/>
      <c r="E119" s="89" t="n"/>
      <c r="H119" s="312" t="n"/>
      <c r="Y119" s="1" t="n"/>
    </row>
    <row r="120" ht="25.05" customFormat="1" customHeight="1" s="86">
      <c r="B120" s="88" t="n"/>
      <c r="E120" s="89" t="n"/>
      <c r="H120" s="312" t="n"/>
      <c r="Y120" s="1" t="n"/>
    </row>
    <row r="121" ht="25.05" customFormat="1" customHeight="1" s="86">
      <c r="B121" s="88" t="n"/>
      <c r="E121" s="89" t="n"/>
      <c r="H121" s="312" t="n"/>
      <c r="Y121" s="1" t="n"/>
    </row>
    <row r="122" ht="25.05" customFormat="1" customHeight="1" s="86">
      <c r="B122" s="88" t="n"/>
      <c r="E122" s="89" t="n"/>
      <c r="H122" s="312" t="n"/>
      <c r="Y122" s="1" t="n"/>
    </row>
    <row r="123" ht="25.05" customFormat="1" customHeight="1" s="86">
      <c r="B123" s="88" t="n"/>
      <c r="E123" s="89" t="n"/>
      <c r="H123" s="312" t="n"/>
      <c r="Y123" s="1" t="n"/>
    </row>
    <row r="124" ht="25.05" customFormat="1" customHeight="1" s="86">
      <c r="B124" s="88" t="n"/>
      <c r="E124" s="89" t="n"/>
      <c r="H124" s="312" t="n"/>
      <c r="Y124" s="1" t="n"/>
    </row>
    <row r="125" ht="25.05" customFormat="1" customHeight="1" s="86">
      <c r="B125" s="88" t="n"/>
      <c r="E125" s="89" t="n"/>
      <c r="H125" s="312" t="n"/>
      <c r="Y125" s="1" t="n"/>
    </row>
    <row r="126" ht="25.05" customFormat="1" customHeight="1" s="86">
      <c r="B126" s="88" t="n"/>
      <c r="E126" s="89" t="n"/>
      <c r="H126" s="312" t="n"/>
      <c r="Y126" s="1" t="n"/>
    </row>
    <row r="127" ht="25.05" customFormat="1" customHeight="1" s="86">
      <c r="B127" s="88" t="n"/>
      <c r="E127" s="89" t="n"/>
      <c r="H127" s="312" t="n"/>
      <c r="Y127" s="1" t="n"/>
    </row>
    <row r="128" ht="25.05" customFormat="1" customHeight="1" s="86">
      <c r="B128" s="88" t="n"/>
      <c r="E128" s="89" t="n"/>
      <c r="H128" s="312" t="n"/>
      <c r="Y128" s="1" t="n"/>
    </row>
    <row r="129" ht="25.05" customFormat="1" customHeight="1" s="86">
      <c r="B129" s="88" t="n"/>
      <c r="E129" s="89" t="n"/>
      <c r="H129" s="312" t="n"/>
      <c r="Y129" s="1" t="n"/>
    </row>
    <row r="130" ht="25.05" customFormat="1" customHeight="1" s="86">
      <c r="B130" s="88" t="n"/>
      <c r="E130" s="89" t="n"/>
      <c r="H130" s="312" t="n"/>
      <c r="Y130" s="1" t="n"/>
    </row>
    <row r="131" ht="25.05" customFormat="1" customHeight="1" s="86">
      <c r="B131" s="88" t="n"/>
      <c r="E131" s="89" t="n"/>
      <c r="H131" s="312" t="n"/>
      <c r="Y131" s="1" t="n"/>
    </row>
    <row r="132" ht="25.05" customFormat="1" customHeight="1" s="86">
      <c r="B132" s="88" t="n"/>
      <c r="E132" s="89" t="n"/>
      <c r="H132" s="312" t="n"/>
      <c r="Y132" s="1" t="n"/>
    </row>
    <row r="133" ht="25.05" customFormat="1" customHeight="1" s="86">
      <c r="B133" s="88" t="n"/>
      <c r="E133" s="89" t="n"/>
      <c r="H133" s="312" t="n"/>
      <c r="Y133" s="1" t="n"/>
    </row>
    <row r="134" ht="25.05" customFormat="1" customHeight="1" s="86">
      <c r="B134" s="88" t="n"/>
      <c r="E134" s="89" t="n"/>
      <c r="H134" s="312" t="n"/>
      <c r="Y134" s="1" t="n"/>
    </row>
    <row r="135" ht="25.05" customFormat="1" customHeight="1" s="86">
      <c r="B135" s="88" t="n"/>
      <c r="E135" s="89" t="n"/>
      <c r="H135" s="312" t="n"/>
      <c r="Y135" s="1" t="n"/>
    </row>
    <row r="136" ht="25.05" customFormat="1" customHeight="1" s="86">
      <c r="B136" s="88" t="n"/>
      <c r="E136" s="89" t="n"/>
      <c r="H136" s="312" t="n"/>
      <c r="Y136" s="1" t="n"/>
    </row>
    <row r="137" ht="25.05" customFormat="1" customHeight="1" s="86">
      <c r="B137" s="88" t="n"/>
      <c r="E137" s="89" t="n"/>
      <c r="H137" s="312" t="n"/>
      <c r="Y137" s="1" t="n"/>
    </row>
    <row r="138" ht="25.05" customFormat="1" customHeight="1" s="86">
      <c r="B138" s="88" t="n"/>
      <c r="E138" s="89" t="n"/>
      <c r="H138" s="312" t="n"/>
      <c r="Y138" s="1" t="n"/>
    </row>
    <row r="139" ht="25.05" customFormat="1" customHeight="1" s="86">
      <c r="B139" s="88" t="n"/>
      <c r="E139" s="89" t="n"/>
      <c r="H139" s="312" t="n"/>
      <c r="Y139" s="1" t="n"/>
    </row>
    <row r="140" ht="25.05" customFormat="1" customHeight="1" s="86">
      <c r="B140" s="88" t="n"/>
      <c r="E140" s="89" t="n"/>
      <c r="H140" s="312" t="n"/>
      <c r="Y140" s="1" t="n"/>
    </row>
    <row r="141" ht="25.05" customFormat="1" customHeight="1" s="86">
      <c r="B141" s="88" t="n"/>
      <c r="E141" s="89" t="n"/>
      <c r="H141" s="312" t="n"/>
      <c r="Y141" s="1" t="n"/>
    </row>
    <row r="142" ht="25.05" customFormat="1" customHeight="1" s="86">
      <c r="B142" s="88" t="n"/>
      <c r="E142" s="89" t="n"/>
      <c r="H142" s="312" t="n"/>
      <c r="Y142" s="1" t="n"/>
    </row>
    <row r="143" ht="25.05" customFormat="1" customHeight="1" s="86">
      <c r="B143" s="88" t="n"/>
      <c r="E143" s="89" t="n"/>
      <c r="H143" s="312" t="n"/>
      <c r="Y143" s="1" t="n"/>
    </row>
    <row r="144" ht="25.05" customFormat="1" customHeight="1" s="86">
      <c r="B144" s="88" t="n"/>
      <c r="E144" s="89" t="n"/>
      <c r="H144" s="312" t="n"/>
      <c r="Y144" s="1" t="n"/>
    </row>
    <row r="145" ht="25.05" customFormat="1" customHeight="1" s="86">
      <c r="B145" s="88" t="n"/>
      <c r="E145" s="89" t="n"/>
      <c r="H145" s="312" t="n"/>
      <c r="Y145" s="1" t="n"/>
    </row>
    <row r="146" ht="25.05" customFormat="1" customHeight="1" s="86">
      <c r="B146" s="88" t="n"/>
      <c r="E146" s="89" t="n"/>
      <c r="H146" s="312" t="n"/>
      <c r="Y146" s="1" t="n"/>
    </row>
    <row r="147" ht="25.05" customFormat="1" customHeight="1" s="86">
      <c r="B147" s="88" t="n"/>
      <c r="E147" s="89" t="n"/>
      <c r="H147" s="312" t="n"/>
      <c r="Y147" s="1" t="n"/>
    </row>
    <row r="148" ht="25.05" customFormat="1" customHeight="1" s="86">
      <c r="B148" s="88" t="n"/>
      <c r="E148" s="89" t="n"/>
      <c r="H148" s="312" t="n"/>
      <c r="Y148" s="1" t="n"/>
    </row>
    <row r="149" ht="25.05" customFormat="1" customHeight="1" s="86">
      <c r="B149" s="88" t="n"/>
      <c r="E149" s="89" t="n"/>
      <c r="H149" s="312" t="n"/>
      <c r="Y149" s="1" t="n"/>
    </row>
    <row r="150" ht="25.05" customFormat="1" customHeight="1" s="86">
      <c r="B150" s="88" t="n"/>
      <c r="E150" s="89" t="n"/>
      <c r="H150" s="312" t="n"/>
      <c r="Y150" s="1" t="n"/>
    </row>
    <row r="151" ht="25.05" customFormat="1" customHeight="1" s="86">
      <c r="B151" s="88" t="n"/>
      <c r="E151" s="89" t="n"/>
      <c r="H151" s="312" t="n"/>
      <c r="Y151" s="1" t="n"/>
    </row>
    <row r="152" ht="25.05" customFormat="1" customHeight="1" s="86">
      <c r="B152" s="88" t="n"/>
      <c r="E152" s="89" t="n"/>
      <c r="H152" s="312" t="n"/>
      <c r="Y152" s="1" t="n"/>
    </row>
    <row r="153" ht="25.05" customFormat="1" customHeight="1" s="86">
      <c r="B153" s="88" t="n"/>
      <c r="E153" s="89" t="n"/>
      <c r="H153" s="312" t="n"/>
      <c r="Y153" s="1" t="n"/>
    </row>
    <row r="154" ht="25.05" customFormat="1" customHeight="1" s="86">
      <c r="B154" s="88" t="n"/>
      <c r="E154" s="89" t="n"/>
      <c r="H154" s="312" t="n"/>
      <c r="Y154" s="1" t="n"/>
    </row>
    <row r="155" ht="25.05" customFormat="1" customHeight="1" s="86">
      <c r="B155" s="88" t="n"/>
      <c r="E155" s="89" t="n"/>
      <c r="H155" s="312" t="n"/>
      <c r="Y155" s="1" t="n"/>
    </row>
    <row r="156" ht="25.05" customFormat="1" customHeight="1" s="86">
      <c r="B156" s="88" t="n"/>
      <c r="E156" s="89" t="n"/>
      <c r="H156" s="312" t="n"/>
      <c r="Y156" s="1" t="n"/>
    </row>
    <row r="157" ht="25.05" customFormat="1" customHeight="1" s="86">
      <c r="B157" s="88" t="n"/>
      <c r="E157" s="89" t="n"/>
      <c r="H157" s="312" t="n"/>
      <c r="Y157" s="1" t="n"/>
    </row>
    <row r="158" ht="25.05" customFormat="1" customHeight="1" s="86">
      <c r="B158" s="88" t="n"/>
      <c r="E158" s="89" t="n"/>
      <c r="H158" s="312" t="n"/>
      <c r="Y158" s="1" t="n"/>
    </row>
    <row r="159" ht="25.05" customFormat="1" customHeight="1" s="86">
      <c r="B159" s="88" t="n"/>
      <c r="E159" s="89" t="n"/>
      <c r="H159" s="312" t="n"/>
      <c r="Y159" s="1" t="n"/>
    </row>
    <row r="160" ht="25.05" customFormat="1" customHeight="1" s="86">
      <c r="B160" s="88" t="n"/>
      <c r="E160" s="89" t="n"/>
      <c r="H160" s="312" t="n"/>
      <c r="Y160" s="1" t="n"/>
    </row>
    <row r="161" ht="25.05" customFormat="1" customHeight="1" s="86">
      <c r="B161" s="88" t="n"/>
      <c r="E161" s="89" t="n"/>
      <c r="H161" s="312" t="n"/>
      <c r="Y161" s="1" t="n"/>
    </row>
    <row r="162" ht="25.05" customFormat="1" customHeight="1" s="86">
      <c r="B162" s="88" t="n"/>
      <c r="E162" s="89" t="n"/>
      <c r="H162" s="312" t="n"/>
      <c r="Y162" s="1" t="n"/>
    </row>
    <row r="163" ht="25.05" customFormat="1" customHeight="1" s="86">
      <c r="B163" s="88" t="n"/>
      <c r="E163" s="89" t="n"/>
      <c r="H163" s="312" t="n"/>
      <c r="Y163" s="1" t="n"/>
    </row>
    <row r="164" ht="25.05" customFormat="1" customHeight="1" s="86">
      <c r="B164" s="88" t="n"/>
      <c r="E164" s="89" t="n"/>
      <c r="H164" s="312" t="n"/>
      <c r="Y164" s="1" t="n"/>
    </row>
    <row r="165" ht="25.05" customFormat="1" customHeight="1" s="86">
      <c r="B165" s="88" t="n"/>
      <c r="E165" s="89" t="n"/>
      <c r="H165" s="312" t="n"/>
      <c r="Y165" s="1" t="n"/>
    </row>
    <row r="166" ht="25.05" customFormat="1" customHeight="1" s="86">
      <c r="B166" s="88" t="n"/>
      <c r="E166" s="89" t="n"/>
      <c r="H166" s="312" t="n"/>
      <c r="Y166" s="1" t="n"/>
    </row>
    <row r="167" ht="25.05" customFormat="1" customHeight="1" s="86">
      <c r="B167" s="88" t="n"/>
      <c r="E167" s="89" t="n"/>
      <c r="H167" s="312" t="n"/>
      <c r="Y167" s="1" t="n"/>
    </row>
    <row r="168" ht="25.05" customFormat="1" customHeight="1" s="86">
      <c r="B168" s="88" t="n"/>
      <c r="E168" s="89" t="n"/>
      <c r="H168" s="312" t="n"/>
      <c r="Y168" s="1" t="n"/>
    </row>
    <row r="169" ht="25.05" customFormat="1" customHeight="1" s="86">
      <c r="B169" s="88" t="n"/>
      <c r="E169" s="89" t="n"/>
      <c r="H169" s="312" t="n"/>
      <c r="Y169" s="1" t="n"/>
    </row>
    <row r="170" ht="25.05" customFormat="1" customHeight="1" s="86">
      <c r="B170" s="88" t="n"/>
      <c r="E170" s="89" t="n"/>
      <c r="H170" s="312" t="n"/>
      <c r="Y170" s="1" t="n"/>
    </row>
    <row r="171" ht="25.05" customFormat="1" customHeight="1" s="86">
      <c r="B171" s="88" t="n"/>
      <c r="E171" s="89" t="n"/>
      <c r="H171" s="312" t="n"/>
      <c r="Y171" s="1" t="n"/>
    </row>
    <row r="172" ht="25.05" customFormat="1" customHeight="1" s="86">
      <c r="B172" s="88" t="n"/>
      <c r="E172" s="89" t="n"/>
      <c r="H172" s="312" t="n"/>
      <c r="Y172" s="1" t="n"/>
    </row>
    <row r="173" ht="25.05" customFormat="1" customHeight="1" s="86">
      <c r="B173" s="88" t="n"/>
      <c r="E173" s="89" t="n"/>
      <c r="H173" s="312" t="n"/>
      <c r="Y173" s="1" t="n"/>
    </row>
    <row r="174" ht="25.05" customFormat="1" customHeight="1" s="86">
      <c r="B174" s="88" t="n"/>
      <c r="E174" s="89" t="n"/>
      <c r="H174" s="312" t="n"/>
      <c r="Y174" s="1" t="n"/>
    </row>
    <row r="175" ht="25.05" customFormat="1" customHeight="1" s="86">
      <c r="B175" s="88" t="n"/>
      <c r="E175" s="89" t="n"/>
      <c r="H175" s="312" t="n"/>
      <c r="Y175" s="1" t="n"/>
    </row>
    <row r="176" ht="25.05" customFormat="1" customHeight="1" s="86">
      <c r="B176" s="88" t="n"/>
      <c r="E176" s="89" t="n"/>
      <c r="H176" s="312" t="n"/>
      <c r="Y176" s="1" t="n"/>
    </row>
    <row r="177" ht="25.05" customFormat="1" customHeight="1" s="86">
      <c r="B177" s="88" t="n"/>
      <c r="E177" s="89" t="n"/>
      <c r="H177" s="312" t="n"/>
      <c r="Y177" s="1" t="n"/>
    </row>
    <row r="178" ht="25.05" customFormat="1" customHeight="1" s="86">
      <c r="B178" s="88" t="n"/>
      <c r="E178" s="89" t="n"/>
      <c r="H178" s="312" t="n"/>
      <c r="Y178" s="1" t="n"/>
    </row>
    <row r="179" ht="25.05" customFormat="1" customHeight="1" s="86">
      <c r="B179" s="88" t="n"/>
      <c r="E179" s="89" t="n"/>
      <c r="H179" s="312" t="n"/>
      <c r="Y179" s="1" t="n"/>
    </row>
    <row r="180" ht="25.05" customFormat="1" customHeight="1" s="86">
      <c r="B180" s="88" t="n"/>
      <c r="E180" s="89" t="n"/>
      <c r="H180" s="312" t="n"/>
      <c r="Y180" s="1" t="n"/>
    </row>
    <row r="181" ht="25.05" customFormat="1" customHeight="1" s="86">
      <c r="B181" s="88" t="n"/>
      <c r="E181" s="89" t="n"/>
      <c r="H181" s="312" t="n"/>
      <c r="Y181" s="1" t="n"/>
    </row>
    <row r="182" ht="25.05" customFormat="1" customHeight="1" s="86">
      <c r="B182" s="88" t="n"/>
      <c r="E182" s="89" t="n"/>
      <c r="H182" s="312" t="n"/>
      <c r="Y182" s="1" t="n"/>
    </row>
    <row r="183" ht="25.05" customFormat="1" customHeight="1" s="86">
      <c r="B183" s="88" t="n"/>
      <c r="E183" s="89" t="n"/>
      <c r="H183" s="312" t="n"/>
      <c r="Y183" s="1" t="n"/>
    </row>
    <row r="184" ht="25.05" customFormat="1" customHeight="1" s="86">
      <c r="B184" s="88" t="n"/>
      <c r="E184" s="89" t="n"/>
      <c r="H184" s="312" t="n"/>
      <c r="Y184" s="1" t="n"/>
    </row>
    <row r="185" ht="25.05" customFormat="1" customHeight="1" s="86">
      <c r="B185" s="88" t="n"/>
      <c r="E185" s="89" t="n"/>
      <c r="H185" s="312" t="n"/>
      <c r="Y185" s="1" t="n"/>
    </row>
    <row r="186" ht="25.05" customFormat="1" customHeight="1" s="86">
      <c r="B186" s="88" t="n"/>
      <c r="E186" s="89" t="n"/>
      <c r="H186" s="312" t="n"/>
      <c r="Y186" s="1" t="n"/>
    </row>
    <row r="187" ht="25.05" customFormat="1" customHeight="1" s="86">
      <c r="B187" s="88" t="n"/>
      <c r="E187" s="89" t="n"/>
      <c r="H187" s="312" t="n"/>
      <c r="Y187" s="1" t="n"/>
    </row>
    <row r="188" ht="25.05" customFormat="1" customHeight="1" s="86">
      <c r="B188" s="88" t="n"/>
      <c r="E188" s="89" t="n"/>
      <c r="H188" s="312" t="n"/>
      <c r="Y188" s="1" t="n"/>
    </row>
    <row r="189" ht="25.05" customFormat="1" customHeight="1" s="86">
      <c r="B189" s="88" t="n"/>
      <c r="E189" s="89" t="n"/>
      <c r="H189" s="312" t="n"/>
      <c r="Y189" s="1" t="n"/>
    </row>
    <row r="190" ht="25.05" customFormat="1" customHeight="1" s="86">
      <c r="B190" s="88" t="n"/>
      <c r="E190" s="89" t="n"/>
      <c r="H190" s="312" t="n"/>
      <c r="Y190" s="1" t="n"/>
    </row>
    <row r="191" ht="25.05" customFormat="1" customHeight="1" s="86">
      <c r="B191" s="88" t="n"/>
      <c r="E191" s="89" t="n"/>
      <c r="H191" s="312" t="n"/>
      <c r="Y191" s="1" t="n"/>
    </row>
    <row r="192" ht="25.05" customFormat="1" customHeight="1" s="86">
      <c r="B192" s="88" t="n"/>
      <c r="E192" s="89" t="n"/>
      <c r="H192" s="312" t="n"/>
      <c r="Y192" s="1" t="n"/>
    </row>
    <row r="193" ht="25.05" customFormat="1" customHeight="1" s="86">
      <c r="B193" s="88" t="n"/>
      <c r="E193" s="89" t="n"/>
      <c r="H193" s="312" t="n"/>
      <c r="Y193" s="1" t="n"/>
    </row>
    <row r="194" ht="25.05" customFormat="1" customHeight="1" s="86">
      <c r="B194" s="88" t="n"/>
      <c r="E194" s="89" t="n"/>
      <c r="H194" s="312" t="n"/>
      <c r="Y194" s="1" t="n"/>
    </row>
    <row r="195" ht="25.05" customFormat="1" customHeight="1" s="86">
      <c r="B195" s="88" t="n"/>
      <c r="E195" s="89" t="n"/>
      <c r="H195" s="312" t="n"/>
      <c r="Y195" s="1" t="n"/>
    </row>
    <row r="196" ht="25.05" customFormat="1" customHeight="1" s="86">
      <c r="B196" s="88" t="n"/>
      <c r="E196" s="89" t="n"/>
      <c r="H196" s="312" t="n"/>
      <c r="Y196" s="1" t="n"/>
    </row>
    <row r="197" ht="25.05" customFormat="1" customHeight="1" s="86">
      <c r="B197" s="88" t="n"/>
      <c r="E197" s="89" t="n"/>
      <c r="H197" s="312" t="n"/>
      <c r="Y197" s="1" t="n"/>
    </row>
    <row r="198" ht="25.05" customFormat="1" customHeight="1" s="86">
      <c r="B198" s="88" t="n"/>
      <c r="E198" s="89" t="n"/>
      <c r="H198" s="312" t="n"/>
      <c r="Y198" s="1" t="n"/>
    </row>
    <row r="199" ht="25.05" customFormat="1" customHeight="1" s="86">
      <c r="B199" s="88" t="n"/>
      <c r="E199" s="89" t="n"/>
      <c r="H199" s="312" t="n"/>
      <c r="Y199" s="1" t="n"/>
    </row>
    <row r="200" ht="25.05" customFormat="1" customHeight="1" s="86">
      <c r="B200" s="88" t="n"/>
      <c r="E200" s="89" t="n"/>
      <c r="H200" s="312" t="n"/>
      <c r="Y200" s="1" t="n"/>
    </row>
    <row r="201" ht="25.05" customFormat="1" customHeight="1" s="86">
      <c r="B201" s="88" t="n"/>
      <c r="E201" s="89" t="n"/>
      <c r="H201" s="312" t="n"/>
      <c r="Y201" s="1" t="n"/>
    </row>
    <row r="202" ht="25.05" customFormat="1" customHeight="1" s="86">
      <c r="B202" s="88" t="n"/>
      <c r="E202" s="89" t="n"/>
      <c r="H202" s="312" t="n"/>
      <c r="Y202" s="1" t="n"/>
    </row>
    <row r="203" ht="25.05" customFormat="1" customHeight="1" s="86">
      <c r="B203" s="88" t="n"/>
      <c r="E203" s="89" t="n"/>
      <c r="H203" s="312" t="n"/>
      <c r="Y203" s="1" t="n"/>
    </row>
    <row r="204" ht="25.05" customFormat="1" customHeight="1" s="86">
      <c r="B204" s="88" t="n"/>
      <c r="E204" s="89" t="n"/>
      <c r="H204" s="312" t="n"/>
      <c r="Y204" s="1" t="n"/>
    </row>
    <row r="205" ht="25.05" customFormat="1" customHeight="1" s="86">
      <c r="B205" s="88" t="n"/>
      <c r="E205" s="89" t="n"/>
      <c r="H205" s="312" t="n"/>
      <c r="Y205" s="1" t="n"/>
    </row>
    <row r="206" ht="25.05" customFormat="1" customHeight="1" s="86">
      <c r="B206" s="88" t="n"/>
      <c r="E206" s="89" t="n"/>
      <c r="H206" s="312" t="n"/>
      <c r="Y206" s="1" t="n"/>
    </row>
    <row r="207" ht="25.05" customFormat="1" customHeight="1" s="86">
      <c r="B207" s="88" t="n"/>
      <c r="E207" s="89" t="n"/>
      <c r="H207" s="312" t="n"/>
      <c r="Y207" s="1" t="n"/>
    </row>
    <row r="208" ht="25.05" customFormat="1" customHeight="1" s="86">
      <c r="B208" s="88" t="n"/>
      <c r="E208" s="89" t="n"/>
      <c r="H208" s="312" t="n"/>
      <c r="Y208" s="1" t="n"/>
    </row>
    <row r="209" ht="25.05" customFormat="1" customHeight="1" s="86">
      <c r="B209" s="88" t="n"/>
      <c r="E209" s="89" t="n"/>
      <c r="H209" s="312" t="n"/>
      <c r="Y209" s="1" t="n"/>
    </row>
    <row r="210" ht="25.05" customFormat="1" customHeight="1" s="86">
      <c r="B210" s="88" t="n"/>
      <c r="E210" s="89" t="n"/>
      <c r="H210" s="312" t="n"/>
      <c r="Y210" s="1" t="n"/>
    </row>
    <row r="211" ht="25.05" customFormat="1" customHeight="1" s="86">
      <c r="B211" s="88" t="n"/>
      <c r="E211" s="89" t="n"/>
      <c r="H211" s="312" t="n"/>
      <c r="Y211" s="1" t="n"/>
    </row>
    <row r="212" ht="25.05" customFormat="1" customHeight="1" s="86">
      <c r="B212" s="88" t="n"/>
      <c r="E212" s="89" t="n"/>
      <c r="H212" s="312" t="n"/>
      <c r="Y212" s="1" t="n"/>
    </row>
    <row r="213" ht="25.05" customFormat="1" customHeight="1" s="86">
      <c r="B213" s="88" t="n"/>
      <c r="E213" s="89" t="n"/>
      <c r="H213" s="312" t="n"/>
      <c r="Y213" s="1" t="n"/>
    </row>
    <row r="214" ht="25.05" customFormat="1" customHeight="1" s="86">
      <c r="B214" s="88" t="n"/>
      <c r="E214" s="89" t="n"/>
      <c r="H214" s="312" t="n"/>
      <c r="Y214" s="1" t="n"/>
    </row>
    <row r="215" ht="25.05" customFormat="1" customHeight="1" s="86">
      <c r="B215" s="88" t="n"/>
      <c r="E215" s="89" t="n"/>
      <c r="H215" s="312" t="n"/>
      <c r="Y215" s="1" t="n"/>
    </row>
    <row r="216" ht="25.05" customFormat="1" customHeight="1" s="86">
      <c r="B216" s="88" t="n"/>
      <c r="E216" s="89" t="n"/>
      <c r="H216" s="312" t="n"/>
      <c r="Y216" s="1" t="n"/>
    </row>
    <row r="217" ht="25.05" customFormat="1" customHeight="1" s="86">
      <c r="B217" s="88" t="n"/>
      <c r="E217" s="89" t="n"/>
      <c r="H217" s="312" t="n"/>
      <c r="Y217" s="1" t="n"/>
    </row>
    <row r="218" ht="25.05" customFormat="1" customHeight="1" s="86">
      <c r="B218" s="88" t="n"/>
      <c r="E218" s="89" t="n"/>
      <c r="H218" s="312" t="n"/>
      <c r="Y218" s="1" t="n"/>
    </row>
    <row r="219" ht="25.05" customFormat="1" customHeight="1" s="86">
      <c r="B219" s="88" t="n"/>
      <c r="E219" s="89" t="n"/>
      <c r="H219" s="312" t="n"/>
      <c r="Y219" s="1" t="n"/>
    </row>
    <row r="220" ht="25.05" customFormat="1" customHeight="1" s="86">
      <c r="B220" s="88" t="n"/>
      <c r="E220" s="89" t="n"/>
      <c r="H220" s="312" t="n"/>
      <c r="Y220" s="1" t="n"/>
    </row>
    <row r="221" ht="25.05" customFormat="1" customHeight="1" s="86">
      <c r="B221" s="88" t="n"/>
      <c r="E221" s="89" t="n"/>
      <c r="H221" s="312" t="n"/>
      <c r="Y221" s="1" t="n"/>
    </row>
    <row r="222" ht="25.05" customFormat="1" customHeight="1" s="86">
      <c r="B222" s="88" t="n"/>
      <c r="E222" s="89" t="n"/>
      <c r="H222" s="312" t="n"/>
      <c r="Y222" s="1" t="n"/>
    </row>
    <row r="223" ht="25.05" customFormat="1" customHeight="1" s="86">
      <c r="B223" s="88" t="n"/>
      <c r="E223" s="89" t="n"/>
      <c r="H223" s="312" t="n"/>
      <c r="Y223" s="1" t="n"/>
    </row>
    <row r="224" ht="25.05" customFormat="1" customHeight="1" s="86">
      <c r="B224" s="88" t="n"/>
      <c r="E224" s="89" t="n"/>
      <c r="H224" s="312" t="n"/>
      <c r="Y224" s="1" t="n"/>
    </row>
    <row r="225" ht="25.05" customFormat="1" customHeight="1" s="86">
      <c r="B225" s="88" t="n"/>
      <c r="E225" s="89" t="n"/>
      <c r="H225" s="312" t="n"/>
      <c r="Y225" s="1" t="n"/>
    </row>
    <row r="226" ht="25.05" customFormat="1" customHeight="1" s="86">
      <c r="B226" s="88" t="n"/>
      <c r="E226" s="89" t="n"/>
      <c r="H226" s="312" t="n"/>
      <c r="Y226" s="1" t="n"/>
    </row>
    <row r="227" ht="25.05" customFormat="1" customHeight="1" s="86">
      <c r="B227" s="88" t="n"/>
      <c r="E227" s="89" t="n"/>
      <c r="H227" s="312" t="n"/>
      <c r="Y227" s="1" t="n"/>
    </row>
    <row r="228" ht="25.05" customFormat="1" customHeight="1" s="86">
      <c r="B228" s="88" t="n"/>
      <c r="E228" s="89" t="n"/>
      <c r="H228" s="312" t="n"/>
      <c r="Y228" s="1" t="n"/>
    </row>
    <row r="229" ht="25.05" customFormat="1" customHeight="1" s="86">
      <c r="B229" s="88" t="n"/>
      <c r="E229" s="89" t="n"/>
      <c r="H229" s="312" t="n"/>
      <c r="Y229" s="1" t="n"/>
    </row>
    <row r="230" ht="25.05" customFormat="1" customHeight="1" s="86">
      <c r="B230" s="88" t="n"/>
      <c r="E230" s="89" t="n"/>
      <c r="H230" s="312" t="n"/>
      <c r="Y230" s="1" t="n"/>
    </row>
    <row r="231" ht="25.05" customFormat="1" customHeight="1" s="86">
      <c r="B231" s="88" t="n"/>
      <c r="E231" s="89" t="n"/>
      <c r="H231" s="312" t="n"/>
      <c r="Y231" s="1" t="n"/>
    </row>
    <row r="232" ht="25.05" customFormat="1" customHeight="1" s="86">
      <c r="B232" s="88" t="n"/>
      <c r="E232" s="89" t="n"/>
      <c r="H232" s="312" t="n"/>
      <c r="Y232" s="1" t="n"/>
    </row>
    <row r="233" ht="25.05" customFormat="1" customHeight="1" s="86">
      <c r="B233" s="88" t="n"/>
      <c r="E233" s="89" t="n"/>
      <c r="H233" s="312" t="n"/>
      <c r="Y233" s="1" t="n"/>
    </row>
    <row r="234" ht="25.05" customFormat="1" customHeight="1" s="86">
      <c r="B234" s="88" t="n"/>
      <c r="E234" s="89" t="n"/>
      <c r="H234" s="312" t="n"/>
      <c r="Y234" s="1" t="n"/>
    </row>
    <row r="235" ht="25.05" customFormat="1" customHeight="1" s="86">
      <c r="B235" s="88" t="n"/>
      <c r="E235" s="89" t="n"/>
      <c r="H235" s="312" t="n"/>
      <c r="Y235" s="1" t="n"/>
    </row>
    <row r="236" ht="25.05" customFormat="1" customHeight="1" s="86">
      <c r="B236" s="88" t="n"/>
      <c r="E236" s="89" t="n"/>
      <c r="H236" s="312" t="n"/>
      <c r="Y236" s="1" t="n"/>
    </row>
    <row r="237" ht="25.05" customFormat="1" customHeight="1" s="86">
      <c r="B237" s="88" t="n"/>
      <c r="E237" s="89" t="n"/>
      <c r="H237" s="312" t="n"/>
      <c r="Y237" s="1" t="n"/>
    </row>
    <row r="238" ht="25.05" customFormat="1" customHeight="1" s="86">
      <c r="B238" s="88" t="n"/>
      <c r="E238" s="89" t="n"/>
      <c r="H238" s="312" t="n"/>
      <c r="Y238" s="1" t="n"/>
    </row>
    <row r="239" ht="25.05" customFormat="1" customHeight="1" s="86">
      <c r="B239" s="88" t="n"/>
      <c r="E239" s="89" t="n"/>
      <c r="H239" s="312" t="n"/>
      <c r="Y239" s="1" t="n"/>
    </row>
    <row r="240" ht="25.05" customFormat="1" customHeight="1" s="86">
      <c r="B240" s="88" t="n"/>
      <c r="E240" s="89" t="n"/>
      <c r="H240" s="312" t="n"/>
      <c r="Y240" s="1" t="n"/>
    </row>
    <row r="241" ht="25.05" customFormat="1" customHeight="1" s="86">
      <c r="B241" s="88" t="n"/>
      <c r="E241" s="89" t="n"/>
      <c r="H241" s="312" t="n"/>
      <c r="Y241" s="1" t="n"/>
    </row>
    <row r="242" ht="25.05" customFormat="1" customHeight="1" s="86">
      <c r="B242" s="88" t="n"/>
      <c r="E242" s="89" t="n"/>
      <c r="H242" s="312" t="n"/>
      <c r="Y242" s="1" t="n"/>
    </row>
    <row r="243" ht="25.05" customFormat="1" customHeight="1" s="86">
      <c r="B243" s="88" t="n"/>
      <c r="E243" s="89" t="n"/>
      <c r="H243" s="312" t="n"/>
      <c r="Y243" s="1" t="n"/>
    </row>
    <row r="244" ht="25.05" customFormat="1" customHeight="1" s="86">
      <c r="B244" s="88" t="n"/>
      <c r="E244" s="89" t="n"/>
      <c r="H244" s="312" t="n"/>
      <c r="Y244" s="1" t="n"/>
    </row>
    <row r="245" ht="25.05" customFormat="1" customHeight="1" s="86">
      <c r="B245" s="88" t="n"/>
      <c r="E245" s="89" t="n"/>
      <c r="H245" s="312" t="n"/>
      <c r="Y245" s="1" t="n"/>
    </row>
    <row r="246" ht="25.05" customFormat="1" customHeight="1" s="86">
      <c r="B246" s="88" t="n"/>
      <c r="E246" s="89" t="n"/>
      <c r="H246" s="312" t="n"/>
      <c r="Y246" s="1" t="n"/>
    </row>
    <row r="247" ht="25.05" customFormat="1" customHeight="1" s="86">
      <c r="B247" s="88" t="n"/>
      <c r="E247" s="89" t="n"/>
      <c r="H247" s="312" t="n"/>
      <c r="Y247" s="1" t="n"/>
    </row>
    <row r="248" ht="25.05" customFormat="1" customHeight="1" s="86">
      <c r="B248" s="88" t="n"/>
      <c r="E248" s="89" t="n"/>
      <c r="H248" s="312" t="n"/>
      <c r="Y248" s="1" t="n"/>
    </row>
    <row r="249" ht="25.05" customFormat="1" customHeight="1" s="86">
      <c r="B249" s="88" t="n"/>
      <c r="E249" s="89" t="n"/>
      <c r="H249" s="312" t="n"/>
      <c r="Y249" s="1" t="n"/>
    </row>
    <row r="250" ht="25.05" customFormat="1" customHeight="1" s="86">
      <c r="B250" s="88" t="n"/>
      <c r="E250" s="89" t="n"/>
      <c r="H250" s="312" t="n"/>
      <c r="Y250" s="1" t="n"/>
    </row>
    <row r="251" ht="25.05" customFormat="1" customHeight="1" s="86">
      <c r="B251" s="88" t="n"/>
      <c r="E251" s="89" t="n"/>
      <c r="H251" s="312" t="n"/>
      <c r="Y251" s="1" t="n"/>
    </row>
    <row r="252" ht="25.05" customFormat="1" customHeight="1" s="86">
      <c r="B252" s="88" t="n"/>
      <c r="E252" s="89" t="n"/>
      <c r="H252" s="312" t="n"/>
      <c r="Y252" s="1" t="n"/>
    </row>
    <row r="253" ht="25.05" customFormat="1" customHeight="1" s="86">
      <c r="B253" s="88" t="n"/>
      <c r="E253" s="89" t="n"/>
      <c r="H253" s="312" t="n"/>
      <c r="Y253" s="1" t="n"/>
    </row>
    <row r="254" ht="25.05" customFormat="1" customHeight="1" s="86">
      <c r="B254" s="88" t="n"/>
      <c r="E254" s="89" t="n"/>
      <c r="H254" s="312" t="n"/>
      <c r="Y254" s="1" t="n"/>
    </row>
    <row r="255" ht="25.05" customFormat="1" customHeight="1" s="86">
      <c r="B255" s="88" t="n"/>
      <c r="E255" s="89" t="n"/>
      <c r="H255" s="312" t="n"/>
      <c r="Y255" s="1" t="n"/>
    </row>
    <row r="256" ht="25.05" customFormat="1" customHeight="1" s="86">
      <c r="B256" s="88" t="n"/>
      <c r="E256" s="89" t="n"/>
      <c r="H256" s="312" t="n"/>
      <c r="Y256" s="1" t="n"/>
    </row>
    <row r="257" ht="25.05" customFormat="1" customHeight="1" s="86">
      <c r="B257" s="88" t="n"/>
      <c r="E257" s="89" t="n"/>
      <c r="H257" s="312" t="n"/>
      <c r="Y257" s="1" t="n"/>
    </row>
    <row r="258" ht="25.05" customFormat="1" customHeight="1" s="86">
      <c r="B258" s="88" t="n"/>
      <c r="E258" s="89" t="n"/>
      <c r="H258" s="312" t="n"/>
      <c r="Y258" s="1" t="n"/>
    </row>
    <row r="259" ht="25.05" customFormat="1" customHeight="1" s="86">
      <c r="B259" s="88" t="n"/>
      <c r="E259" s="89" t="n"/>
      <c r="H259" s="312" t="n"/>
      <c r="Y259" s="1" t="n"/>
    </row>
    <row r="260" ht="25.05" customFormat="1" customHeight="1" s="86">
      <c r="B260" s="88" t="n"/>
      <c r="E260" s="89" t="n"/>
      <c r="H260" s="312" t="n"/>
      <c r="Y260" s="1" t="n"/>
    </row>
    <row r="261" ht="25.05" customFormat="1" customHeight="1" s="86">
      <c r="B261" s="88" t="n"/>
      <c r="E261" s="89" t="n"/>
      <c r="H261" s="312" t="n"/>
      <c r="Y261" s="1" t="n"/>
    </row>
    <row r="262" ht="25.05" customFormat="1" customHeight="1" s="86">
      <c r="B262" s="88" t="n"/>
      <c r="E262" s="89" t="n"/>
      <c r="H262" s="312" t="n"/>
      <c r="Y262" s="1" t="n"/>
    </row>
    <row r="263" ht="25.05" customFormat="1" customHeight="1" s="86">
      <c r="B263" s="88" t="n"/>
      <c r="E263" s="89" t="n"/>
      <c r="H263" s="312" t="n"/>
      <c r="Y263" s="1" t="n"/>
    </row>
    <row r="264" ht="25.05" customFormat="1" customHeight="1" s="86">
      <c r="B264" s="88" t="n"/>
      <c r="E264" s="89" t="n"/>
      <c r="H264" s="312" t="n"/>
      <c r="Y264" s="1" t="n"/>
    </row>
    <row r="265" ht="25.05" customFormat="1" customHeight="1" s="86">
      <c r="B265" s="88" t="n"/>
      <c r="E265" s="89" t="n"/>
      <c r="H265" s="312" t="n"/>
      <c r="Y265" s="1" t="n"/>
    </row>
    <row r="266" ht="25.05" customFormat="1" customHeight="1" s="86">
      <c r="B266" s="88" t="n"/>
      <c r="E266" s="89" t="n"/>
      <c r="H266" s="312" t="n"/>
      <c r="Y266" s="1" t="n"/>
    </row>
    <row r="267" ht="25.05" customFormat="1" customHeight="1" s="86">
      <c r="B267" s="88" t="n"/>
      <c r="E267" s="89" t="n"/>
      <c r="H267" s="312" t="n"/>
      <c r="Y267" s="1" t="n"/>
    </row>
    <row r="268" ht="25.05" customFormat="1" customHeight="1" s="86">
      <c r="B268" s="88" t="n"/>
      <c r="E268" s="89" t="n"/>
      <c r="H268" s="312" t="n"/>
      <c r="Y268" s="1" t="n"/>
    </row>
    <row r="269" ht="25.05" customFormat="1" customHeight="1" s="86">
      <c r="B269" s="88" t="n"/>
      <c r="E269" s="89" t="n"/>
      <c r="H269" s="312" t="n"/>
      <c r="Y269" s="1" t="n"/>
    </row>
    <row r="270" ht="25.05" customFormat="1" customHeight="1" s="86">
      <c r="B270" s="88" t="n"/>
      <c r="E270" s="89" t="n"/>
      <c r="H270" s="312" t="n"/>
      <c r="Y270" s="1" t="n"/>
    </row>
    <row r="271" ht="25.05" customFormat="1" customHeight="1" s="86">
      <c r="B271" s="88" t="n"/>
      <c r="E271" s="89" t="n"/>
      <c r="H271" s="312" t="n"/>
      <c r="Y271" s="1" t="n"/>
    </row>
    <row r="272" ht="25.05" customFormat="1" customHeight="1" s="86">
      <c r="B272" s="88" t="n"/>
      <c r="E272" s="89" t="n"/>
      <c r="H272" s="312" t="n"/>
      <c r="Y272" s="1" t="n"/>
    </row>
    <row r="273" ht="25.05" customFormat="1" customHeight="1" s="86">
      <c r="B273" s="88" t="n"/>
      <c r="E273" s="89" t="n"/>
      <c r="H273" s="312" t="n"/>
      <c r="Y273" s="1" t="n"/>
    </row>
    <row r="274" ht="25.05" customFormat="1" customHeight="1" s="86">
      <c r="B274" s="88" t="n"/>
      <c r="E274" s="89" t="n"/>
      <c r="H274" s="312" t="n"/>
      <c r="Y274" s="1" t="n"/>
    </row>
    <row r="275" ht="25.05" customFormat="1" customHeight="1" s="86">
      <c r="B275" s="88" t="n"/>
      <c r="E275" s="89" t="n"/>
      <c r="H275" s="312" t="n"/>
      <c r="Y275" s="1" t="n"/>
    </row>
    <row r="276" ht="25.05" customFormat="1" customHeight="1" s="86">
      <c r="B276" s="88" t="n"/>
      <c r="E276" s="89" t="n"/>
      <c r="H276" s="312" t="n"/>
      <c r="Y276" s="1" t="n"/>
    </row>
    <row r="277" ht="25.05" customFormat="1" customHeight="1" s="86">
      <c r="B277" s="88" t="n"/>
      <c r="E277" s="89" t="n"/>
      <c r="H277" s="312" t="n"/>
      <c r="Y277" s="1" t="n"/>
    </row>
    <row r="278" ht="25.05" customFormat="1" customHeight="1" s="86">
      <c r="B278" s="88" t="n"/>
      <c r="E278" s="89" t="n"/>
      <c r="H278" s="312" t="n"/>
      <c r="Y278" s="1" t="n"/>
    </row>
    <row r="279" ht="25.05" customFormat="1" customHeight="1" s="86">
      <c r="B279" s="88" t="n"/>
      <c r="E279" s="89" t="n"/>
      <c r="H279" s="312" t="n"/>
      <c r="Y279" s="1" t="n"/>
    </row>
    <row r="280" ht="25.05" customFormat="1" customHeight="1" s="86">
      <c r="B280" s="88" t="n"/>
      <c r="E280" s="89" t="n"/>
      <c r="H280" s="312" t="n"/>
      <c r="Y280" s="1" t="n"/>
    </row>
    <row r="281" ht="25.05" customFormat="1" customHeight="1" s="86">
      <c r="B281" s="88" t="n"/>
      <c r="E281" s="89" t="n"/>
      <c r="H281" s="312" t="n"/>
      <c r="Y281" s="1" t="n"/>
    </row>
    <row r="282" ht="25.05" customFormat="1" customHeight="1" s="86">
      <c r="B282" s="88" t="n"/>
      <c r="E282" s="89" t="n"/>
      <c r="H282" s="312" t="n"/>
      <c r="Y282" s="1" t="n"/>
    </row>
    <row r="283" ht="25.05" customFormat="1" customHeight="1" s="86">
      <c r="B283" s="88" t="n"/>
      <c r="E283" s="89" t="n"/>
      <c r="H283" s="312" t="n"/>
      <c r="Y283" s="1" t="n"/>
    </row>
    <row r="284" ht="25.05" customFormat="1" customHeight="1" s="86">
      <c r="B284" s="88" t="n"/>
      <c r="E284" s="89" t="n"/>
      <c r="H284" s="312" t="n"/>
      <c r="Y284" s="1" t="n"/>
    </row>
    <row r="285" ht="25.05" customFormat="1" customHeight="1" s="86">
      <c r="B285" s="88" t="n"/>
      <c r="E285" s="89" t="n"/>
      <c r="H285" s="312" t="n"/>
      <c r="Y285" s="1" t="n"/>
    </row>
    <row r="286" ht="25.05" customFormat="1" customHeight="1" s="86">
      <c r="B286" s="88" t="n"/>
      <c r="E286" s="89" t="n"/>
      <c r="H286" s="312" t="n"/>
      <c r="Y286" s="1" t="n"/>
    </row>
    <row r="287" ht="25.05" customFormat="1" customHeight="1" s="86">
      <c r="B287" s="88" t="n"/>
      <c r="E287" s="89" t="n"/>
      <c r="H287" s="312" t="n"/>
      <c r="Y287" s="1" t="n"/>
    </row>
    <row r="288" ht="25.05" customFormat="1" customHeight="1" s="86">
      <c r="B288" s="88" t="n"/>
      <c r="E288" s="89" t="n"/>
      <c r="H288" s="312" t="n"/>
      <c r="Y288" s="1" t="n"/>
    </row>
    <row r="289" ht="25.05" customFormat="1" customHeight="1" s="86">
      <c r="B289" s="88" t="n"/>
      <c r="E289" s="89" t="n"/>
      <c r="H289" s="312" t="n"/>
      <c r="Y289" s="1" t="n"/>
    </row>
    <row r="290" ht="25.05" customFormat="1" customHeight="1" s="86">
      <c r="B290" s="88" t="n"/>
      <c r="E290" s="89" t="n"/>
      <c r="H290" s="312" t="n"/>
      <c r="Y290" s="1" t="n"/>
    </row>
    <row r="291" ht="25.05" customFormat="1" customHeight="1" s="86">
      <c r="B291" s="88" t="n"/>
      <c r="E291" s="89" t="n"/>
      <c r="H291" s="312" t="n"/>
      <c r="Y291" s="1" t="n"/>
    </row>
    <row r="292" ht="25.05" customFormat="1" customHeight="1" s="86">
      <c r="B292" s="88" t="n"/>
      <c r="E292" s="89" t="n"/>
      <c r="H292" s="312" t="n"/>
      <c r="Y292" s="1" t="n"/>
    </row>
    <row r="293" ht="25.05" customFormat="1" customHeight="1" s="86">
      <c r="B293" s="88" t="n"/>
      <c r="E293" s="89" t="n"/>
      <c r="H293" s="312" t="n"/>
      <c r="Y293" s="1" t="n"/>
    </row>
    <row r="294" ht="25.05" customFormat="1" customHeight="1" s="86">
      <c r="B294" s="88" t="n"/>
      <c r="E294" s="89" t="n"/>
      <c r="H294" s="312" t="n"/>
      <c r="Y294" s="1" t="n"/>
    </row>
    <row r="295" ht="25.05" customFormat="1" customHeight="1" s="86">
      <c r="B295" s="88" t="n"/>
      <c r="E295" s="89" t="n"/>
      <c r="H295" s="312" t="n"/>
      <c r="Y295" s="1" t="n"/>
    </row>
    <row r="296" ht="25.05" customFormat="1" customHeight="1" s="86">
      <c r="B296" s="88" t="n"/>
      <c r="E296" s="89" t="n"/>
      <c r="H296" s="312" t="n"/>
      <c r="Y296" s="1" t="n"/>
    </row>
    <row r="297" ht="25.05" customFormat="1" customHeight="1" s="86">
      <c r="B297" s="88" t="n"/>
      <c r="E297" s="89" t="n"/>
      <c r="H297" s="312" t="n"/>
      <c r="Y297" s="1" t="n"/>
    </row>
    <row r="298" ht="25.05" customFormat="1" customHeight="1" s="86">
      <c r="B298" s="88" t="n"/>
      <c r="E298" s="89" t="n"/>
      <c r="H298" s="312" t="n"/>
      <c r="Y298" s="1" t="n"/>
    </row>
    <row r="299" ht="25.05" customFormat="1" customHeight="1" s="86">
      <c r="B299" s="88" t="n"/>
      <c r="E299" s="89" t="n"/>
      <c r="H299" s="312" t="n"/>
      <c r="Y299" s="1" t="n"/>
    </row>
    <row r="300" ht="25.05" customFormat="1" customHeight="1" s="86">
      <c r="B300" s="88" t="n"/>
      <c r="E300" s="89" t="n"/>
      <c r="H300" s="312" t="n"/>
      <c r="Y300" s="1" t="n"/>
    </row>
    <row r="301" ht="25.05" customFormat="1" customHeight="1" s="86">
      <c r="B301" s="88" t="n"/>
      <c r="E301" s="89" t="n"/>
      <c r="H301" s="312" t="n"/>
      <c r="Y301" s="1" t="n"/>
    </row>
    <row r="302" ht="25.05" customFormat="1" customHeight="1" s="86">
      <c r="B302" s="88" t="n"/>
      <c r="E302" s="89" t="n"/>
      <c r="H302" s="312" t="n"/>
      <c r="Y302" s="1" t="n"/>
    </row>
    <row r="303" ht="25.05" customFormat="1" customHeight="1" s="86">
      <c r="B303" s="88" t="n"/>
      <c r="E303" s="89" t="n"/>
      <c r="H303" s="312" t="n"/>
      <c r="Y303" s="1" t="n"/>
    </row>
    <row r="304" ht="25.05" customFormat="1" customHeight="1" s="86">
      <c r="B304" s="88" t="n"/>
      <c r="E304" s="89" t="n"/>
      <c r="H304" s="312" t="n"/>
      <c r="Y304" s="1" t="n"/>
    </row>
    <row r="305" ht="25.05" customFormat="1" customHeight="1" s="86">
      <c r="B305" s="88" t="n"/>
      <c r="E305" s="89" t="n"/>
      <c r="H305" s="312" t="n"/>
      <c r="Y305" s="1" t="n"/>
    </row>
    <row r="306" ht="25.05" customFormat="1" customHeight="1" s="86">
      <c r="B306" s="88" t="n"/>
      <c r="E306" s="89" t="n"/>
      <c r="H306" s="312" t="n"/>
      <c r="Y306" s="1" t="n"/>
    </row>
    <row r="307" ht="25.05" customFormat="1" customHeight="1" s="86">
      <c r="B307" s="88" t="n"/>
      <c r="E307" s="89" t="n"/>
      <c r="H307" s="312" t="n"/>
      <c r="Y307" s="1" t="n"/>
    </row>
    <row r="308" ht="25.05" customFormat="1" customHeight="1" s="86">
      <c r="B308" s="88" t="n"/>
      <c r="E308" s="89" t="n"/>
      <c r="H308" s="312" t="n"/>
      <c r="Y308" s="1" t="n"/>
    </row>
    <row r="309" ht="25.05" customFormat="1" customHeight="1" s="86">
      <c r="B309" s="88" t="n"/>
      <c r="E309" s="89" t="n"/>
      <c r="H309" s="312" t="n"/>
      <c r="Y309" s="1" t="n"/>
    </row>
    <row r="310" ht="25.05" customFormat="1" customHeight="1" s="86">
      <c r="B310" s="88" t="n"/>
      <c r="E310" s="89" t="n"/>
      <c r="H310" s="312" t="n"/>
      <c r="Y310" s="1" t="n"/>
    </row>
    <row r="311" ht="25.05" customFormat="1" customHeight="1" s="86">
      <c r="B311" s="88" t="n"/>
      <c r="E311" s="89" t="n"/>
      <c r="H311" s="312" t="n"/>
      <c r="Y311" s="1" t="n"/>
    </row>
    <row r="312" ht="25.05" customFormat="1" customHeight="1" s="86">
      <c r="B312" s="88" t="n"/>
      <c r="E312" s="89" t="n"/>
      <c r="H312" s="312" t="n"/>
      <c r="Y312" s="1" t="n"/>
    </row>
    <row r="313" ht="25.05" customFormat="1" customHeight="1" s="86">
      <c r="B313" s="88" t="n"/>
      <c r="E313" s="89" t="n"/>
      <c r="H313" s="312" t="n"/>
      <c r="Y313" s="1" t="n"/>
    </row>
    <row r="314" ht="25.05" customFormat="1" customHeight="1" s="86">
      <c r="B314" s="88" t="n"/>
      <c r="E314" s="89" t="n"/>
      <c r="H314" s="312" t="n"/>
      <c r="Y314" s="1" t="n"/>
    </row>
    <row r="315" ht="25.05" customFormat="1" customHeight="1" s="86">
      <c r="B315" s="88" t="n"/>
      <c r="E315" s="89" t="n"/>
      <c r="H315" s="312" t="n"/>
      <c r="Y315" s="1" t="n"/>
    </row>
    <row r="316" ht="25.05" customFormat="1" customHeight="1" s="86">
      <c r="B316" s="88" t="n"/>
      <c r="E316" s="89" t="n"/>
      <c r="H316" s="312" t="n"/>
      <c r="Y316" s="1" t="n"/>
    </row>
    <row r="317" ht="25.05" customFormat="1" customHeight="1" s="86">
      <c r="B317" s="88" t="n"/>
      <c r="E317" s="89" t="n"/>
      <c r="H317" s="312" t="n"/>
      <c r="Y317" s="1" t="n"/>
    </row>
    <row r="318" ht="25.05" customFormat="1" customHeight="1" s="86">
      <c r="B318" s="88" t="n"/>
      <c r="E318" s="89" t="n"/>
      <c r="H318" s="312" t="n"/>
      <c r="Y318" s="1" t="n"/>
    </row>
    <row r="319" ht="25.05" customFormat="1" customHeight="1" s="86">
      <c r="B319" s="88" t="n"/>
      <c r="E319" s="89" t="n"/>
      <c r="H319" s="312" t="n"/>
      <c r="Y319" s="1" t="n"/>
    </row>
    <row r="320" ht="25.05" customFormat="1" customHeight="1" s="86">
      <c r="B320" s="88" t="n"/>
      <c r="E320" s="89" t="n"/>
      <c r="H320" s="312" t="n"/>
      <c r="Y320" s="1" t="n"/>
    </row>
    <row r="321" ht="25.05" customFormat="1" customHeight="1" s="86">
      <c r="B321" s="88" t="n"/>
      <c r="E321" s="89" t="n"/>
      <c r="H321" s="312" t="n"/>
      <c r="Y321" s="1" t="n"/>
    </row>
    <row r="322" ht="25.05" customFormat="1" customHeight="1" s="86">
      <c r="B322" s="88" t="n"/>
      <c r="E322" s="89" t="n"/>
      <c r="H322" s="312" t="n"/>
      <c r="Y322" s="1" t="n"/>
    </row>
    <row r="323" ht="25.05" customFormat="1" customHeight="1" s="86">
      <c r="B323" s="88" t="n"/>
      <c r="E323" s="89" t="n"/>
      <c r="H323" s="312" t="n"/>
      <c r="Y323" s="1" t="n"/>
    </row>
    <row r="324" ht="25.05" customFormat="1" customHeight="1" s="86">
      <c r="B324" s="88" t="n"/>
      <c r="E324" s="89" t="n"/>
      <c r="H324" s="312" t="n"/>
      <c r="Y324" s="1" t="n"/>
    </row>
    <row r="325" ht="25.05" customFormat="1" customHeight="1" s="86">
      <c r="B325" s="88" t="n"/>
      <c r="E325" s="89" t="n"/>
      <c r="H325" s="312" t="n"/>
      <c r="Y325" s="1" t="n"/>
    </row>
    <row r="326" ht="25.05" customFormat="1" customHeight="1" s="86">
      <c r="B326" s="88" t="n"/>
      <c r="E326" s="89" t="n"/>
      <c r="H326" s="312" t="n"/>
      <c r="Y326" s="1" t="n"/>
    </row>
    <row r="327" ht="25.05" customFormat="1" customHeight="1" s="86">
      <c r="B327" s="88" t="n"/>
      <c r="E327" s="89" t="n"/>
      <c r="H327" s="312" t="n"/>
      <c r="Y327" s="1" t="n"/>
    </row>
    <row r="328" ht="25.05" customFormat="1" customHeight="1" s="86">
      <c r="B328" s="88" t="n"/>
      <c r="E328" s="89" t="n"/>
      <c r="H328" s="312" t="n"/>
      <c r="Y328" s="1" t="n"/>
    </row>
    <row r="329" ht="25.05" customFormat="1" customHeight="1" s="86">
      <c r="B329" s="88" t="n"/>
      <c r="E329" s="89" t="n"/>
      <c r="H329" s="312" t="n"/>
      <c r="Y329" s="1" t="n"/>
    </row>
    <row r="330" ht="25.05" customFormat="1" customHeight="1" s="86">
      <c r="B330" s="88" t="n"/>
      <c r="E330" s="89" t="n"/>
      <c r="H330" s="312" t="n"/>
      <c r="Y330" s="1" t="n"/>
    </row>
    <row r="331" ht="25.05" customFormat="1" customHeight="1" s="86">
      <c r="B331" s="88" t="n"/>
      <c r="E331" s="89" t="n"/>
      <c r="H331" s="312" t="n"/>
      <c r="Y331" s="1" t="n"/>
    </row>
    <row r="332" ht="25.05" customFormat="1" customHeight="1" s="86">
      <c r="B332" s="88" t="n"/>
      <c r="E332" s="89" t="n"/>
      <c r="H332" s="312" t="n"/>
      <c r="Y332" s="1" t="n"/>
    </row>
    <row r="333" ht="25.05" customFormat="1" customHeight="1" s="86">
      <c r="B333" s="88" t="n"/>
      <c r="E333" s="89" t="n"/>
      <c r="H333" s="312" t="n"/>
      <c r="Y333" s="1" t="n"/>
    </row>
    <row r="334" ht="25.05" customFormat="1" customHeight="1" s="86">
      <c r="B334" s="88" t="n"/>
      <c r="E334" s="89" t="n"/>
      <c r="H334" s="312" t="n"/>
      <c r="Y334" s="1" t="n"/>
    </row>
    <row r="335" ht="25.05" customFormat="1" customHeight="1" s="86">
      <c r="B335" s="88" t="n"/>
      <c r="E335" s="89" t="n"/>
      <c r="H335" s="312" t="n"/>
      <c r="Y335" s="1" t="n"/>
    </row>
    <row r="336" ht="25.05" customFormat="1" customHeight="1" s="86">
      <c r="B336" s="88" t="n"/>
      <c r="E336" s="89" t="n"/>
      <c r="H336" s="312" t="n"/>
      <c r="Y336" s="1" t="n"/>
    </row>
    <row r="337" ht="25.05" customFormat="1" customHeight="1" s="86">
      <c r="B337" s="88" t="n"/>
      <c r="E337" s="89" t="n"/>
      <c r="H337" s="312" t="n"/>
      <c r="Y337" s="1" t="n"/>
    </row>
    <row r="338" ht="25.05" customFormat="1" customHeight="1" s="86">
      <c r="B338" s="88" t="n"/>
      <c r="E338" s="89" t="n"/>
      <c r="H338" s="312" t="n"/>
      <c r="Y338" s="1" t="n"/>
    </row>
    <row r="339" ht="25.05" customFormat="1" customHeight="1" s="86">
      <c r="B339" s="88" t="n"/>
      <c r="E339" s="89" t="n"/>
      <c r="H339" s="312" t="n"/>
      <c r="Y339" s="1" t="n"/>
    </row>
    <row r="340" ht="25.05" customFormat="1" customHeight="1" s="86">
      <c r="B340" s="88" t="n"/>
      <c r="E340" s="89" t="n"/>
      <c r="H340" s="312" t="n"/>
      <c r="Y340" s="1" t="n"/>
    </row>
    <row r="341" ht="25.05" customFormat="1" customHeight="1" s="86">
      <c r="B341" s="88" t="n"/>
      <c r="E341" s="89" t="n"/>
      <c r="H341" s="312" t="n"/>
      <c r="Y341" s="1" t="n"/>
    </row>
    <row r="342" ht="25.05" customFormat="1" customHeight="1" s="86">
      <c r="B342" s="88" t="n"/>
      <c r="E342" s="89" t="n"/>
      <c r="H342" s="312" t="n"/>
      <c r="Y342" s="1" t="n"/>
    </row>
    <row r="343" ht="25.05" customFormat="1" customHeight="1" s="86">
      <c r="B343" s="88" t="n"/>
      <c r="E343" s="89" t="n"/>
      <c r="H343" s="312" t="n"/>
      <c r="Y343" s="1" t="n"/>
    </row>
    <row r="344" ht="25.05" customFormat="1" customHeight="1" s="86">
      <c r="B344" s="88" t="n"/>
      <c r="E344" s="89" t="n"/>
      <c r="H344" s="312" t="n"/>
      <c r="Y344" s="1" t="n"/>
    </row>
    <row r="345" ht="25.05" customFormat="1" customHeight="1" s="86">
      <c r="B345" s="88" t="n"/>
      <c r="E345" s="89" t="n"/>
      <c r="H345" s="312" t="n"/>
      <c r="Y345" s="1" t="n"/>
    </row>
    <row r="346" ht="25.05" customFormat="1" customHeight="1" s="86">
      <c r="B346" s="88" t="n"/>
      <c r="E346" s="89" t="n"/>
      <c r="H346" s="312" t="n"/>
      <c r="Y346" s="1" t="n"/>
    </row>
    <row r="347" ht="25.05" customFormat="1" customHeight="1" s="86">
      <c r="B347" s="88" t="n"/>
      <c r="E347" s="89" t="n"/>
      <c r="H347" s="312" t="n"/>
      <c r="Y347" s="1" t="n"/>
    </row>
    <row r="348" ht="25.05" customFormat="1" customHeight="1" s="86">
      <c r="B348" s="88" t="n"/>
      <c r="E348" s="89" t="n"/>
      <c r="H348" s="312" t="n"/>
      <c r="Y348" s="1" t="n"/>
    </row>
    <row r="349" ht="25.05" customFormat="1" customHeight="1" s="86">
      <c r="B349" s="88" t="n"/>
      <c r="E349" s="89" t="n"/>
      <c r="H349" s="312" t="n"/>
      <c r="Y349" s="1" t="n"/>
    </row>
    <row r="350" ht="25.05" customFormat="1" customHeight="1" s="86">
      <c r="B350" s="88" t="n"/>
      <c r="E350" s="89" t="n"/>
      <c r="H350" s="312" t="n"/>
      <c r="Y350" s="1" t="n"/>
    </row>
    <row r="351" ht="25.05" customFormat="1" customHeight="1" s="86">
      <c r="B351" s="88" t="n"/>
      <c r="E351" s="89" t="n"/>
      <c r="H351" s="312" t="n"/>
      <c r="Y351" s="1" t="n"/>
    </row>
    <row r="352" ht="25.05" customFormat="1" customHeight="1" s="86">
      <c r="B352" s="88" t="n"/>
      <c r="E352" s="89" t="n"/>
      <c r="H352" s="312" t="n"/>
      <c r="Y352" s="1" t="n"/>
    </row>
    <row r="353" ht="25.05" customFormat="1" customHeight="1" s="86">
      <c r="B353" s="88" t="n"/>
      <c r="E353" s="89" t="n"/>
      <c r="H353" s="312" t="n"/>
      <c r="Y353" s="1" t="n"/>
    </row>
    <row r="354" ht="25.05" customFormat="1" customHeight="1" s="86">
      <c r="B354" s="88" t="n"/>
      <c r="E354" s="89" t="n"/>
      <c r="H354" s="312" t="n"/>
      <c r="Y354" s="1" t="n"/>
    </row>
    <row r="355" ht="25.05" customFormat="1" customHeight="1" s="86">
      <c r="B355" s="88" t="n"/>
      <c r="E355" s="89" t="n"/>
      <c r="H355" s="312" t="n"/>
      <c r="Y355" s="1" t="n"/>
    </row>
    <row r="356" ht="25.05" customFormat="1" customHeight="1" s="86">
      <c r="B356" s="88" t="n"/>
      <c r="E356" s="89" t="n"/>
      <c r="H356" s="312" t="n"/>
      <c r="Y356" s="1" t="n"/>
    </row>
    <row r="357" ht="25.05" customFormat="1" customHeight="1" s="86">
      <c r="B357" s="88" t="n"/>
      <c r="E357" s="89" t="n"/>
      <c r="H357" s="312" t="n"/>
      <c r="Y357" s="1" t="n"/>
    </row>
    <row r="358" ht="25.05" customFormat="1" customHeight="1" s="86">
      <c r="B358" s="88" t="n"/>
      <c r="E358" s="89" t="n"/>
      <c r="H358" s="312" t="n"/>
      <c r="Y358" s="1" t="n"/>
    </row>
    <row r="359" ht="25.05" customFormat="1" customHeight="1" s="86">
      <c r="B359" s="88" t="n"/>
      <c r="E359" s="89" t="n"/>
      <c r="H359" s="312" t="n"/>
      <c r="Y359" s="1" t="n"/>
    </row>
    <row r="360" ht="25.05" customFormat="1" customHeight="1" s="86">
      <c r="B360" s="88" t="n"/>
      <c r="E360" s="89" t="n"/>
      <c r="H360" s="312" t="n"/>
      <c r="Y360" s="1" t="n"/>
    </row>
    <row r="361" ht="25.05" customFormat="1" customHeight="1" s="86">
      <c r="B361" s="88" t="n"/>
      <c r="E361" s="89" t="n"/>
      <c r="H361" s="312" t="n"/>
      <c r="Y361" s="1" t="n"/>
    </row>
    <row r="362" ht="25.05" customFormat="1" customHeight="1" s="86">
      <c r="B362" s="88" t="n"/>
      <c r="E362" s="89" t="n"/>
      <c r="H362" s="312" t="n"/>
      <c r="Y362" s="1" t="n"/>
    </row>
    <row r="363" ht="25.05" customFormat="1" customHeight="1" s="86">
      <c r="B363" s="88" t="n"/>
      <c r="E363" s="89" t="n"/>
      <c r="H363" s="312" t="n"/>
      <c r="Y363" s="1" t="n"/>
    </row>
    <row r="364" ht="25.05" customFormat="1" customHeight="1" s="86">
      <c r="B364" s="88" t="n"/>
      <c r="E364" s="89" t="n"/>
      <c r="H364" s="312" t="n"/>
      <c r="Y364" s="1" t="n"/>
    </row>
    <row r="365" ht="25.05" customFormat="1" customHeight="1" s="86">
      <c r="B365" s="88" t="n"/>
      <c r="E365" s="89" t="n"/>
      <c r="H365" s="312" t="n"/>
      <c r="Y365" s="1" t="n"/>
    </row>
    <row r="366" ht="25.05" customFormat="1" customHeight="1" s="86">
      <c r="B366" s="88" t="n"/>
      <c r="E366" s="89" t="n"/>
      <c r="H366" s="312" t="n"/>
      <c r="Y366" s="1" t="n"/>
    </row>
    <row r="367" ht="25.05" customFormat="1" customHeight="1" s="86">
      <c r="B367" s="88" t="n"/>
      <c r="E367" s="89" t="n"/>
      <c r="H367" s="312" t="n"/>
      <c r="Y367" s="1" t="n"/>
    </row>
    <row r="368" ht="25.05" customFormat="1" customHeight="1" s="86">
      <c r="B368" s="88" t="n"/>
      <c r="E368" s="89" t="n"/>
      <c r="H368" s="312" t="n"/>
      <c r="Y368" s="1" t="n"/>
    </row>
    <row r="369" ht="25.05" customFormat="1" customHeight="1" s="86">
      <c r="B369" s="88" t="n"/>
      <c r="E369" s="89" t="n"/>
      <c r="H369" s="312" t="n"/>
      <c r="Y369" s="1" t="n"/>
    </row>
    <row r="370" ht="25.05" customFormat="1" customHeight="1" s="86">
      <c r="B370" s="88" t="n"/>
      <c r="E370" s="89" t="n"/>
      <c r="H370" s="312" t="n"/>
      <c r="Y370" s="1" t="n"/>
    </row>
    <row r="371" ht="25.05" customFormat="1" customHeight="1" s="86">
      <c r="B371" s="88" t="n"/>
      <c r="E371" s="89" t="n"/>
      <c r="H371" s="312" t="n"/>
      <c r="Y371" s="1" t="n"/>
    </row>
    <row r="372" ht="25.05" customFormat="1" customHeight="1" s="86">
      <c r="B372" s="88" t="n"/>
      <c r="E372" s="89" t="n"/>
      <c r="H372" s="312" t="n"/>
      <c r="Y372" s="1" t="n"/>
    </row>
    <row r="373" ht="25.05" customFormat="1" customHeight="1" s="86">
      <c r="B373" s="88" t="n"/>
      <c r="E373" s="89" t="n"/>
      <c r="H373" s="312" t="n"/>
      <c r="Y373" s="1" t="n"/>
    </row>
    <row r="374" ht="25.05" customFormat="1" customHeight="1" s="86">
      <c r="B374" s="88" t="n"/>
      <c r="E374" s="89" t="n"/>
      <c r="H374" s="312" t="n"/>
      <c r="Y374" s="1" t="n"/>
    </row>
    <row r="375" ht="25.05" customFormat="1" customHeight="1" s="86">
      <c r="B375" s="88" t="n"/>
      <c r="E375" s="89" t="n"/>
      <c r="H375" s="312" t="n"/>
      <c r="Y375" s="1" t="n"/>
    </row>
    <row r="376" ht="25.05" customFormat="1" customHeight="1" s="87">
      <c r="B376" s="88" t="n"/>
      <c r="E376" s="89" t="n"/>
      <c r="H376" s="312" t="n"/>
      <c r="Y376" s="1" t="n"/>
    </row>
    <row r="377" ht="34.95" customHeight="1">
      <c r="B377" s="88" t="n"/>
      <c r="E377" s="89" t="n"/>
      <c r="H377" s="312" t="n"/>
      <c r="Y377" s="1" t="n"/>
    </row>
    <row r="378" ht="19.95" customHeight="1">
      <c r="B378" s="88" t="n"/>
      <c r="E378" s="89" t="n"/>
      <c r="H378" s="312" t="n"/>
      <c r="Y378" s="1" t="n"/>
    </row>
    <row r="379" ht="19.95" customHeight="1">
      <c r="B379" s="88" t="n"/>
      <c r="E379" s="89" t="n"/>
      <c r="H379" s="312" t="n"/>
      <c r="Y379" s="1" t="n"/>
    </row>
    <row r="380" ht="19.95" customHeight="1">
      <c r="B380" s="88" t="n"/>
      <c r="E380" s="89" t="n"/>
      <c r="H380" s="312" t="n"/>
      <c r="Y380" s="1" t="n"/>
    </row>
    <row r="381" ht="19.95" customHeight="1">
      <c r="B381" s="88" t="n"/>
      <c r="E381" s="89" t="n"/>
      <c r="H381" s="312" t="n"/>
      <c r="Y381" s="1" t="n"/>
    </row>
    <row r="382" ht="19.95" customHeight="1">
      <c r="B382" s="88" t="n"/>
      <c r="E382" s="89" t="n"/>
      <c r="H382" s="312" t="n"/>
      <c r="Y382" s="1" t="n"/>
    </row>
    <row r="383" ht="19.95" customHeight="1">
      <c r="B383" s="88" t="n"/>
      <c r="E383" s="89" t="n"/>
      <c r="H383" s="312" t="n"/>
      <c r="Y383" s="1" t="n"/>
    </row>
    <row r="384" ht="19.95" customHeight="1">
      <c r="B384" s="88" t="n"/>
      <c r="E384" s="89" t="n"/>
      <c r="H384" s="312" t="n"/>
      <c r="Y384" s="1" t="n"/>
    </row>
    <row r="385" ht="19.95" customHeight="1">
      <c r="B385" s="88" t="n"/>
      <c r="E385" s="89" t="n"/>
      <c r="H385" s="312" t="n"/>
      <c r="Y385" s="1" t="n"/>
    </row>
    <row r="386" ht="19.95" customHeight="1">
      <c r="B386" s="88" t="n"/>
      <c r="E386" s="89" t="n"/>
      <c r="H386" s="312" t="n"/>
      <c r="Y386" s="1" t="n"/>
    </row>
    <row r="387" ht="19.95" customHeight="1">
      <c r="B387" s="88" t="n"/>
      <c r="E387" s="89" t="n"/>
      <c r="H387" s="312" t="n"/>
      <c r="Y387" s="1" t="n"/>
    </row>
    <row r="388" ht="19.95" customHeight="1">
      <c r="B388" s="88" t="n"/>
      <c r="E388" s="89" t="n"/>
      <c r="H388" s="312" t="n"/>
      <c r="Y388" s="1" t="n"/>
    </row>
    <row r="389" ht="19.95" customHeight="1">
      <c r="B389" s="88" t="n"/>
      <c r="E389" s="89" t="n"/>
      <c r="H389" s="312" t="n"/>
      <c r="Y389" s="1" t="n"/>
    </row>
    <row r="390" ht="19.95" customHeight="1"/>
    <row r="391" ht="19.95" customHeight="1"/>
    <row r="392" ht="19.95" customHeight="1"/>
    <row r="393" ht="19.95" customHeight="1"/>
    <row r="394" ht="19.95" customHeight="1"/>
    <row r="395" ht="19.95" customHeight="1"/>
    <row r="396" ht="19.95" customHeight="1"/>
    <row r="397" ht="19.95" customHeight="1"/>
    <row r="398" ht="19.95" customHeight="1"/>
    <row r="399" ht="19.95" customHeight="1"/>
    <row r="400" ht="19.95" customHeight="1"/>
    <row r="401" ht="19.95" customHeight="1"/>
    <row r="402" ht="19.95" customHeight="1"/>
    <row r="403" ht="19.95" customHeight="1"/>
    <row r="404" ht="19.95" customHeight="1"/>
    <row r="405" ht="19.95" customHeight="1"/>
    <row r="406" ht="19.95" customHeight="1"/>
    <row r="407" ht="19.95" customHeight="1"/>
    <row r="408" ht="19.95" customHeight="1"/>
    <row r="409" ht="19.95" customHeight="1"/>
    <row r="410" ht="19.95" customHeight="1"/>
    <row r="411" ht="19.95" customHeight="1"/>
    <row r="412" ht="19.95" customHeight="1"/>
    <row r="413" ht="19.95" customHeight="1"/>
    <row r="414" ht="19.95" customHeight="1"/>
    <row r="415" ht="19.95" customHeight="1"/>
    <row r="416" ht="19.95" customHeight="1"/>
    <row r="417" ht="19.95" customHeight="1"/>
    <row r="418" ht="19.95" customHeight="1"/>
    <row r="419" ht="19.95" customHeight="1"/>
    <row r="420" ht="19.95" customHeight="1"/>
    <row r="421" ht="19.95" customHeight="1"/>
    <row r="422" ht="19.95" customHeight="1"/>
    <row r="423" ht="19.95" customHeight="1"/>
    <row r="424" ht="19.95" customHeight="1"/>
    <row r="425" ht="19.95" customHeight="1"/>
    <row r="426" ht="19.95" customHeight="1"/>
    <row r="427" ht="19.95" customHeight="1"/>
    <row r="428" ht="19.95" customHeight="1"/>
    <row r="429" ht="19.95" customHeight="1"/>
    <row r="430" ht="19.95" customHeight="1"/>
    <row r="431" ht="19.95" customHeight="1"/>
    <row r="432" ht="19.95" customHeight="1"/>
    <row r="433" ht="19.95" customHeight="1"/>
    <row r="434" ht="19.95" customHeight="1"/>
    <row r="435" ht="19.95" customHeight="1"/>
    <row r="436" ht="19.95" customHeight="1"/>
    <row r="437" ht="19.95" customHeight="1"/>
    <row r="438" ht="19.95" customHeight="1"/>
    <row r="439" ht="19.95" customHeight="1"/>
    <row r="440" ht="19.95" customHeight="1"/>
    <row r="441" ht="19.95" customHeight="1"/>
    <row r="442" ht="19.95" customHeight="1"/>
    <row r="443" ht="19.95" customHeight="1"/>
    <row r="444" ht="19.95" customHeight="1"/>
    <row r="445" ht="19.95" customHeight="1"/>
    <row r="446" ht="19.95" customHeight="1"/>
    <row r="447" ht="19.95" customHeight="1"/>
    <row r="448" ht="19.95" customHeight="1"/>
    <row r="449" ht="19.95" customHeight="1"/>
    <row r="450" ht="19.95" customHeight="1"/>
    <row r="451" ht="19.95" customHeight="1"/>
    <row r="452" ht="19.95" customHeight="1"/>
    <row r="453" ht="19.95" customHeight="1"/>
    <row r="454" ht="19.95" customHeight="1"/>
    <row r="455" ht="19.95" customHeight="1"/>
    <row r="456" ht="19.95" customHeight="1"/>
    <row r="457" ht="19.95" customHeight="1"/>
    <row r="458" ht="19.95" customHeight="1"/>
    <row r="459" ht="19.95" customHeight="1"/>
    <row r="460" ht="19.95" customHeight="1"/>
    <row r="461" ht="19.95" customHeight="1"/>
    <row r="462" ht="19.95" customHeight="1"/>
    <row r="463" ht="19.95" customHeight="1"/>
    <row r="464" ht="19.95" customHeight="1"/>
    <row r="465" ht="19.95" customHeight="1"/>
    <row r="466" ht="19.95" customHeight="1"/>
    <row r="467" ht="19.95" customHeight="1"/>
    <row r="468" ht="19.95" customHeight="1"/>
    <row r="469" ht="19.95" customHeight="1"/>
    <row r="470" ht="19.95" customHeight="1"/>
    <row r="471" ht="19.95" customHeight="1"/>
    <row r="472" ht="19.95" customHeight="1"/>
    <row r="473" ht="19.95" customHeight="1"/>
    <row r="474" ht="19.95" customHeight="1"/>
    <row r="475" ht="19.95" customHeight="1"/>
    <row r="476" ht="19.95" customHeight="1"/>
    <row r="477" ht="19.95" customHeight="1"/>
    <row r="478" ht="19.95" customHeight="1"/>
    <row r="479" ht="19.95" customHeight="1"/>
    <row r="480" ht="19.95" customHeight="1"/>
    <row r="481" ht="19.95" customHeight="1"/>
    <row r="482" ht="19.95" customHeight="1"/>
    <row r="483" ht="19.95" customHeight="1"/>
    <row r="484" ht="19.95" customHeight="1"/>
    <row r="485" ht="19.95" customHeight="1"/>
    <row r="486" ht="19.95" customHeight="1"/>
    <row r="487" ht="19.95" customHeight="1"/>
    <row r="488" ht="19.95" customHeight="1"/>
    <row r="489" ht="19.95" customHeight="1"/>
    <row r="490" ht="19.95" customHeight="1"/>
    <row r="491" ht="19.95" customHeight="1"/>
    <row r="492" ht="19.95" customHeight="1"/>
    <row r="493" ht="19.95" customHeight="1"/>
    <row r="494" ht="19.95" customHeight="1"/>
    <row r="495" ht="19.95" customHeight="1"/>
    <row r="496" ht="19.95" customHeight="1"/>
    <row r="497" ht="19.95" customHeight="1"/>
    <row r="498" ht="19.95" customHeight="1"/>
    <row r="499" ht="19.95" customHeight="1"/>
    <row r="500" ht="19.95" customHeight="1"/>
    <row r="501" ht="19.95" customHeight="1"/>
    <row r="502" ht="19.95" customHeight="1"/>
    <row r="503" ht="19.95" customHeight="1"/>
    <row r="504" ht="19.95" customHeight="1"/>
    <row r="505" ht="19.95" customHeight="1"/>
    <row r="506" ht="19.95" customHeight="1"/>
    <row r="507" ht="19.95" customHeight="1"/>
    <row r="508" ht="19.95" customHeight="1"/>
    <row r="509" ht="19.95" customHeight="1"/>
    <row r="510" ht="19.95" customHeight="1"/>
    <row r="511" ht="19.95" customHeight="1"/>
    <row r="512" ht="19.95" customHeight="1"/>
    <row r="513" ht="19.95" customHeight="1"/>
    <row r="514" ht="19.95" customHeight="1"/>
    <row r="515" ht="19.95" customHeight="1"/>
    <row r="516" ht="19.95" customHeight="1"/>
    <row r="517" ht="19.95" customHeight="1"/>
    <row r="518" ht="19.95" customHeight="1"/>
    <row r="519" ht="19.95" customHeight="1"/>
    <row r="520" ht="19.95" customHeight="1"/>
    <row r="521" ht="19.95" customHeight="1"/>
    <row r="522" ht="19.95" customHeight="1"/>
    <row r="523" ht="19.95" customHeight="1"/>
    <row r="524" ht="19.95" customHeight="1"/>
    <row r="525" ht="19.95" customHeight="1"/>
    <row r="526" ht="19.95" customHeight="1"/>
    <row r="527" ht="19.95" customHeight="1"/>
    <row r="528" ht="19.95" customHeight="1"/>
    <row r="529" ht="19.95" customHeight="1"/>
    <row r="530" ht="19.95" customHeight="1"/>
    <row r="531" ht="19.95" customHeight="1"/>
    <row r="532" ht="19.95" customHeight="1"/>
    <row r="533" ht="19.95" customHeight="1"/>
    <row r="534" ht="19.95" customHeight="1"/>
    <row r="535" ht="19.95" customHeight="1"/>
    <row r="536" ht="19.95" customHeight="1"/>
    <row r="537" ht="19.95" customHeight="1"/>
    <row r="538" ht="19.95" customHeight="1"/>
    <row r="539" ht="19.95" customHeight="1"/>
    <row r="540" ht="19.95" customHeight="1"/>
    <row r="541" ht="19.95" customHeight="1"/>
    <row r="542" ht="19.95" customHeight="1"/>
    <row r="543" ht="19.95" customHeight="1"/>
    <row r="544" ht="19.95" customHeight="1"/>
    <row r="545" ht="19.95" customHeight="1"/>
    <row r="546" ht="19.95" customHeight="1"/>
    <row r="547" ht="19.95" customHeight="1"/>
    <row r="548" ht="19.95" customHeight="1"/>
    <row r="549" ht="19.95" customHeight="1"/>
    <row r="550" ht="19.95" customHeight="1"/>
    <row r="551" ht="19.95" customHeight="1"/>
    <row r="552" ht="19.95" customHeight="1"/>
    <row r="553" ht="19.95" customHeight="1"/>
    <row r="554" ht="19.95" customHeight="1"/>
    <row r="555" ht="19.95" customHeight="1"/>
    <row r="556" ht="19.95" customHeight="1"/>
    <row r="557" ht="19.95" customHeight="1"/>
    <row r="558" ht="19.95" customHeight="1"/>
    <row r="559" ht="19.95" customHeight="1"/>
    <row r="560" ht="19.95" customHeight="1"/>
    <row r="561" ht="19.95" customHeight="1"/>
    <row r="562" ht="19.95" customHeight="1"/>
    <row r="563" ht="19.95" customHeight="1"/>
    <row r="564" ht="19.95" customHeight="1"/>
    <row r="565" ht="19.95" customHeight="1"/>
    <row r="566" ht="19.95" customHeight="1"/>
    <row r="567" ht="19.95" customHeight="1"/>
    <row r="568" ht="19.95" customHeight="1"/>
    <row r="569" ht="19.95" customHeight="1"/>
    <row r="570" ht="19.95" customHeight="1"/>
    <row r="571" ht="19.95" customHeight="1"/>
    <row r="572" ht="19.95" customHeight="1"/>
    <row r="573" ht="19.95" customHeight="1"/>
    <row r="574" ht="19.95" customHeight="1"/>
    <row r="575" ht="19.95" customHeight="1"/>
    <row r="576" ht="19.95" customHeight="1"/>
    <row r="577" ht="19.95" customHeight="1"/>
    <row r="578" ht="19.95" customHeight="1"/>
    <row r="579" ht="19.95" customHeight="1"/>
    <row r="580" ht="19.95" customHeight="1"/>
    <row r="581" ht="19.95" customHeight="1"/>
    <row r="582" ht="19.95" customHeight="1"/>
    <row r="583" ht="19.95" customHeight="1"/>
    <row r="584" ht="19.95" customHeight="1"/>
    <row r="585" ht="19.95" customHeight="1"/>
    <row r="586" ht="19.95" customHeight="1"/>
    <row r="587" ht="19.95" customHeight="1"/>
    <row r="588" ht="19.95" customHeight="1"/>
    <row r="589" ht="19.95" customHeight="1"/>
    <row r="590" ht="19.95" customHeight="1"/>
    <row r="591" ht="19.95" customHeight="1"/>
    <row r="592" ht="19.95" customHeight="1"/>
    <row r="593" ht="19.95" customHeight="1"/>
    <row r="594" ht="19.95" customHeight="1"/>
    <row r="595" ht="19.95" customHeight="1"/>
    <row r="596" ht="19.95" customHeight="1"/>
    <row r="597" ht="19.95" customHeight="1"/>
    <row r="598" ht="19.95" customHeight="1"/>
    <row r="599" ht="19.95" customHeight="1"/>
    <row r="600" ht="19.95" customHeight="1"/>
    <row r="601" ht="19.95" customHeight="1"/>
    <row r="602" ht="19.95" customHeight="1"/>
    <row r="603" ht="19.95" customHeight="1"/>
    <row r="604" ht="19.95" customHeight="1"/>
    <row r="605" ht="19.95" customHeight="1"/>
    <row r="606" ht="19.95" customHeight="1"/>
    <row r="607" ht="19.95" customHeight="1"/>
    <row r="608" ht="19.95" customHeight="1"/>
    <row r="609" ht="19.95" customHeight="1"/>
    <row r="610" ht="19.95" customHeight="1"/>
    <row r="611" ht="19.95" customHeight="1"/>
    <row r="612" ht="19.95" customHeight="1"/>
    <row r="613" ht="19.95" customHeight="1"/>
    <row r="614" ht="19.95" customHeight="1"/>
    <row r="615" ht="19.95" customHeight="1"/>
    <row r="616" ht="19.95" customHeight="1"/>
    <row r="617" ht="19.95" customHeight="1"/>
    <row r="618" ht="19.95" customHeight="1"/>
    <row r="619" ht="19.95" customHeight="1"/>
    <row r="620" ht="19.95" customHeight="1"/>
    <row r="621" ht="19.95" customHeight="1"/>
    <row r="622" ht="19.95" customHeight="1"/>
    <row r="623" ht="19.95" customHeight="1"/>
    <row r="624" ht="19.95" customHeight="1"/>
    <row r="625" ht="19.95" customHeight="1"/>
    <row r="626" ht="19.95" customHeight="1"/>
    <row r="627" ht="19.95" customHeight="1"/>
    <row r="628" ht="19.95" customHeight="1"/>
    <row r="629" ht="19.95" customHeight="1"/>
    <row r="630" ht="19.95" customHeight="1"/>
    <row r="631" ht="19.95" customHeight="1"/>
    <row r="632" ht="19.95" customHeight="1"/>
    <row r="633" ht="19.95" customHeight="1"/>
    <row r="634" ht="19.95" customHeight="1"/>
    <row r="635" ht="19.95" customHeight="1"/>
    <row r="636" ht="19.95" customHeight="1"/>
    <row r="637" ht="19.95" customHeight="1"/>
    <row r="638" ht="19.95" customHeight="1"/>
    <row r="639" ht="19.95" customHeight="1"/>
    <row r="640" ht="19.95" customHeight="1"/>
    <row r="641" ht="19.95" customHeight="1"/>
    <row r="642" ht="19.95" customHeight="1"/>
    <row r="643" ht="19.95" customHeight="1"/>
    <row r="644" ht="19.95" customHeight="1"/>
    <row r="645" ht="19.95" customHeight="1"/>
    <row r="646" ht="19.95" customHeight="1"/>
    <row r="647" ht="19.95" customHeight="1"/>
    <row r="648" ht="19.95" customHeight="1"/>
    <row r="649" ht="19.95" customHeight="1"/>
    <row r="650" ht="19.95" customHeight="1"/>
    <row r="651" ht="19.95" customHeight="1"/>
    <row r="652" ht="19.95" customHeight="1"/>
    <row r="653" ht="19.95" customHeight="1"/>
    <row r="654" ht="19.95" customHeight="1"/>
    <row r="655" ht="19.95" customHeight="1"/>
    <row r="656" ht="19.95" customHeight="1"/>
    <row r="657" ht="19.95" customHeight="1"/>
    <row r="658" ht="19.95" customHeight="1"/>
    <row r="659" ht="19.95" customHeight="1"/>
    <row r="660" ht="19.95" customHeight="1"/>
    <row r="661" ht="19.95" customHeight="1"/>
    <row r="662" ht="19.95" customHeight="1"/>
    <row r="663" ht="19.95" customHeight="1"/>
    <row r="664" ht="19.95" customHeight="1"/>
    <row r="665" ht="19.95" customHeight="1"/>
    <row r="666" ht="19.95" customHeight="1"/>
    <row r="667" ht="19.95" customHeight="1"/>
    <row r="668" ht="19.95" customHeight="1"/>
    <row r="669" ht="19.95" customHeight="1"/>
    <row r="670" ht="19.95" customHeight="1"/>
    <row r="671" ht="19.95" customHeight="1"/>
    <row r="672" ht="19.95" customHeight="1"/>
    <row r="673" ht="19.95" customHeight="1"/>
    <row r="674" ht="19.95" customHeight="1"/>
    <row r="675" ht="19.95" customHeight="1"/>
    <row r="676" ht="19.95" customHeight="1"/>
    <row r="677" ht="19.95" customHeight="1"/>
    <row r="678" ht="19.95" customHeight="1"/>
    <row r="679" ht="19.95" customHeight="1"/>
    <row r="680" ht="19.95" customHeight="1"/>
    <row r="681" ht="19.95" customHeight="1"/>
    <row r="682" ht="19.95" customHeight="1"/>
    <row r="683" ht="19.95" customHeight="1"/>
    <row r="684" ht="19.95" customHeight="1"/>
    <row r="685" ht="19.95" customHeight="1"/>
    <row r="686" ht="19.95" customHeight="1"/>
    <row r="687" ht="19.95" customHeight="1"/>
    <row r="688" ht="19.95" customHeight="1"/>
    <row r="689" ht="19.95" customHeight="1"/>
    <row r="690" ht="19.95" customHeight="1"/>
    <row r="691" ht="19.95" customHeight="1"/>
    <row r="692" ht="19.95" customHeight="1"/>
    <row r="693" ht="19.95" customHeight="1"/>
    <row r="694" ht="19.95" customHeight="1"/>
    <row r="695" ht="19.95" customHeight="1"/>
    <row r="696" ht="19.95" customHeight="1"/>
    <row r="697" ht="19.95" customHeight="1"/>
    <row r="698" ht="19.95" customHeight="1"/>
    <row r="699" ht="19.95" customHeight="1"/>
    <row r="700" ht="19.95" customHeight="1"/>
    <row r="701" ht="19.95" customHeight="1"/>
    <row r="702" ht="19.95" customHeight="1"/>
    <row r="703" ht="19.95" customHeight="1"/>
    <row r="704" ht="19.95" customHeight="1"/>
    <row r="705" ht="19.95" customHeight="1"/>
    <row r="706" ht="19.95" customHeight="1"/>
    <row r="707" ht="19.95" customHeight="1"/>
    <row r="708" ht="19.95" customHeight="1"/>
    <row r="709" ht="19.95" customHeight="1"/>
    <row r="710" ht="19.95" customHeight="1"/>
    <row r="711" ht="19.95" customHeight="1"/>
    <row r="712" ht="19.95" customHeight="1"/>
    <row r="713" ht="19.95" customHeight="1"/>
    <row r="714" ht="19.95" customHeight="1"/>
    <row r="715" ht="19.95" customHeight="1"/>
    <row r="716" ht="19.95" customHeight="1"/>
    <row r="717" ht="19.95" customHeight="1"/>
    <row r="718" ht="19.95" customHeight="1"/>
    <row r="719" ht="19.95" customHeight="1"/>
    <row r="720" ht="19.95" customHeight="1"/>
    <row r="721" ht="19.95" customHeight="1"/>
    <row r="722" ht="19.95" customHeight="1"/>
    <row r="723" ht="19.95" customHeight="1"/>
    <row r="724" ht="19.95" customHeight="1"/>
    <row r="725" ht="19.95" customHeight="1"/>
    <row r="726" ht="19.95" customHeight="1"/>
    <row r="727" ht="19.95" customHeight="1"/>
    <row r="728" ht="19.95" customHeight="1"/>
    <row r="729" ht="19.95" customHeight="1"/>
    <row r="730" ht="19.95" customHeight="1"/>
    <row r="731" ht="19.95" customHeight="1"/>
    <row r="732" ht="19.95" customHeight="1"/>
    <row r="733" ht="19.95" customHeight="1"/>
    <row r="734" ht="19.95" customHeight="1"/>
    <row r="735" ht="19.95" customHeight="1"/>
    <row r="736" ht="19.95" customHeight="1"/>
    <row r="737" ht="19.95" customHeight="1"/>
    <row r="738" ht="19.95" customHeight="1"/>
    <row r="739" ht="19.95" customHeight="1"/>
    <row r="740" ht="19.95" customHeight="1"/>
    <row r="741" ht="19.95" customHeight="1"/>
    <row r="742" ht="19.95" customHeight="1"/>
    <row r="743" ht="19.95" customHeight="1"/>
    <row r="744" ht="19.95" customHeight="1"/>
    <row r="745" ht="19.95" customHeight="1"/>
    <row r="746" ht="19.95" customHeight="1"/>
    <row r="747" ht="19.95" customHeight="1"/>
    <row r="748" ht="19.95" customHeight="1"/>
    <row r="749" ht="19.95" customHeight="1"/>
    <row r="750" ht="19.95" customHeight="1"/>
    <row r="751" ht="19.95" customHeight="1"/>
    <row r="752" ht="19.95" customHeight="1"/>
    <row r="753" ht="19.95" customHeight="1"/>
    <row r="754" ht="19.95" customHeight="1"/>
    <row r="755" ht="19.95" customHeight="1"/>
    <row r="756" ht="19.95" customHeight="1"/>
    <row r="757" ht="19.95" customHeight="1"/>
    <row r="758" ht="19.95" customHeight="1"/>
    <row r="759" ht="19.95" customHeight="1"/>
    <row r="760" ht="19.95" customHeight="1"/>
    <row r="761" ht="19.95" customHeight="1"/>
    <row r="762" ht="19.95" customHeight="1"/>
    <row r="763" ht="19.95" customHeight="1"/>
    <row r="764" ht="19.95" customHeight="1"/>
    <row r="765" ht="19.95" customHeight="1"/>
    <row r="766" ht="19.95" customHeight="1"/>
    <row r="767" ht="19.95" customHeight="1"/>
    <row r="768" ht="19.95" customHeight="1"/>
    <row r="769" ht="19.95" customHeight="1"/>
    <row r="770" ht="19.95" customHeight="1"/>
    <row r="771" ht="19.95" customHeight="1"/>
    <row r="772" ht="19.95" customHeight="1"/>
    <row r="773" ht="19.95" customHeight="1"/>
    <row r="774" ht="19.95" customHeight="1"/>
    <row r="775" ht="19.95" customHeight="1"/>
    <row r="776" ht="19.95" customHeight="1"/>
    <row r="777" ht="19.95" customHeight="1"/>
    <row r="778" ht="19.95" customHeight="1"/>
    <row r="779" ht="19.95" customHeight="1"/>
    <row r="780" ht="19.95" customHeight="1"/>
    <row r="781" ht="19.95" customHeight="1"/>
    <row r="782" ht="19.95" customHeight="1"/>
    <row r="783" ht="19.95" customHeight="1"/>
    <row r="784" ht="19.95" customHeight="1"/>
    <row r="785" ht="19.95" customHeight="1"/>
    <row r="786" ht="19.95" customHeight="1"/>
    <row r="787" ht="19.95" customHeight="1"/>
    <row r="788" ht="19.95" customHeight="1"/>
    <row r="789" ht="19.95" customHeight="1"/>
    <row r="790" ht="19.95" customHeight="1"/>
    <row r="791" ht="19.95" customHeight="1"/>
    <row r="792" ht="19.95" customHeight="1"/>
    <row r="793" ht="19.95" customHeight="1"/>
    <row r="794" ht="19.95" customHeight="1"/>
    <row r="795" ht="19.95" customHeight="1"/>
    <row r="796" ht="19.95" customHeight="1"/>
    <row r="797" ht="19.95" customHeight="1"/>
    <row r="798" ht="19.95" customHeight="1"/>
    <row r="799" ht="19.95" customHeight="1"/>
    <row r="800" ht="19.95" customHeight="1"/>
    <row r="801" ht="19.95" customHeight="1"/>
    <row r="802" ht="19.95" customHeight="1"/>
    <row r="803" ht="19.95" customHeight="1"/>
    <row r="804" ht="19.95" customHeight="1"/>
    <row r="805" ht="19.95" customHeight="1"/>
    <row r="806" ht="19.95" customHeight="1"/>
    <row r="807" ht="19.95" customHeight="1"/>
    <row r="808" ht="19.95" customHeight="1"/>
    <row r="809" ht="19.95" customHeight="1"/>
    <row r="810" ht="19.95" customHeight="1"/>
    <row r="811" ht="19.95" customHeight="1"/>
    <row r="812" ht="19.95" customHeight="1"/>
    <row r="813" ht="19.95" customHeight="1"/>
    <row r="814" ht="19.95" customHeight="1"/>
    <row r="815" ht="19.95" customHeight="1"/>
    <row r="816" ht="19.95" customHeight="1"/>
    <row r="817" ht="19.95" customHeight="1"/>
    <row r="818" ht="19.95" customHeight="1"/>
    <row r="819" ht="19.95" customHeight="1"/>
    <row r="820" ht="19.95" customHeight="1"/>
    <row r="821" ht="19.95" customHeight="1"/>
    <row r="822" ht="19.95" customHeight="1"/>
    <row r="823" ht="19.95" customHeight="1"/>
    <row r="824" ht="19.95" customHeight="1"/>
    <row r="825" ht="19.95" customHeight="1"/>
    <row r="826" ht="19.95" customHeight="1"/>
    <row r="827" ht="19.95" customHeight="1"/>
    <row r="828" ht="19.95" customHeight="1"/>
    <row r="829" ht="19.95" customHeight="1"/>
    <row r="830" ht="19.95" customHeight="1"/>
    <row r="831" ht="19.95" customHeight="1"/>
    <row r="832" ht="19.95" customHeight="1"/>
    <row r="833" ht="19.95" customHeight="1"/>
    <row r="834" ht="19.95" customHeight="1"/>
    <row r="835" ht="19.95" customHeight="1"/>
    <row r="836" ht="19.95" customHeight="1"/>
    <row r="837" ht="19.95" customHeight="1"/>
    <row r="838" ht="19.95" customHeight="1"/>
    <row r="839" ht="19.95" customHeight="1"/>
    <row r="840" ht="19.95" customHeight="1"/>
    <row r="841" ht="19.95" customHeight="1"/>
    <row r="842" ht="19.95" customHeight="1"/>
    <row r="843" ht="19.95" customHeight="1"/>
    <row r="844" ht="19.95" customHeight="1"/>
    <row r="845" ht="19.95" customHeight="1"/>
    <row r="846" ht="19.95" customHeight="1"/>
    <row r="847" ht="19.95" customHeight="1"/>
    <row r="848" ht="19.95" customHeight="1"/>
    <row r="849" ht="19.95" customHeight="1"/>
    <row r="850" ht="19.95" customHeight="1"/>
    <row r="851" ht="19.95" customHeight="1"/>
    <row r="852" ht="19.95" customHeight="1"/>
    <row r="853" ht="19.95" customHeight="1"/>
    <row r="854" ht="19.95" customHeight="1"/>
    <row r="855" ht="19.95" customHeight="1"/>
    <row r="856" ht="19.95" customHeight="1"/>
    <row r="857" ht="19.95" customHeight="1"/>
    <row r="858" ht="19.95" customHeight="1"/>
    <row r="859" ht="19.95" customHeight="1"/>
    <row r="860" ht="19.95" customHeight="1"/>
    <row r="861" ht="19.95" customHeight="1"/>
    <row r="862" ht="19.95" customHeight="1"/>
    <row r="863" ht="19.95" customHeight="1"/>
    <row r="864" ht="19.95" customHeight="1"/>
    <row r="865" ht="19.95" customHeight="1"/>
    <row r="866" ht="19.95" customHeight="1"/>
    <row r="867" ht="19.95" customHeight="1"/>
    <row r="868" ht="19.95" customHeight="1"/>
    <row r="869" ht="19.95" customHeight="1"/>
    <row r="870" ht="19.95" customHeight="1"/>
    <row r="871" ht="19.95" customHeight="1"/>
    <row r="872" ht="19.95" customHeight="1"/>
    <row r="873" ht="19.95" customHeight="1"/>
    <row r="874" ht="19.95" customHeight="1"/>
    <row r="875" ht="19.95" customHeight="1"/>
    <row r="876" ht="19.95" customHeight="1"/>
    <row r="877" ht="19.95" customHeight="1"/>
    <row r="878" ht="19.95" customHeight="1"/>
    <row r="879" ht="19.95" customHeight="1"/>
    <row r="880" ht="19.95" customHeight="1"/>
    <row r="881" ht="19.95" customHeight="1"/>
    <row r="882" ht="19.95" customHeight="1"/>
    <row r="883" ht="19.95" customHeight="1"/>
    <row r="884" ht="19.95" customHeight="1"/>
    <row r="885" ht="19.95" customHeight="1"/>
    <row r="886" ht="19.95" customHeight="1"/>
    <row r="887" ht="19.95" customHeight="1"/>
    <row r="888" ht="19.95" customHeight="1"/>
    <row r="889" ht="19.95" customHeight="1"/>
    <row r="890" ht="19.95" customHeight="1"/>
    <row r="891" ht="19.95" customHeight="1"/>
    <row r="892" ht="19.95" customHeight="1"/>
    <row r="893" ht="19.95" customHeight="1"/>
    <row r="894" ht="19.95" customHeight="1"/>
    <row r="895" ht="19.95" customHeight="1"/>
    <row r="896" ht="19.95" customHeight="1"/>
    <row r="897" ht="19.95" customHeight="1"/>
    <row r="898" ht="19.95" customHeight="1"/>
    <row r="899" ht="19.95" customHeight="1"/>
    <row r="900" ht="19.95" customHeight="1"/>
    <row r="901" ht="19.95" customHeight="1"/>
    <row r="902" ht="19.95" customHeight="1"/>
    <row r="903" ht="19.95" customHeight="1"/>
    <row r="904" ht="19.95" customHeight="1"/>
    <row r="905" ht="19.95" customHeight="1"/>
    <row r="906" ht="19.95" customHeight="1"/>
    <row r="907" ht="19.95" customHeight="1"/>
    <row r="908" ht="19.95" customHeight="1"/>
    <row r="909" ht="19.95" customHeight="1"/>
    <row r="910" ht="19.95" customHeight="1"/>
    <row r="911" ht="19.95" customHeight="1"/>
    <row r="912" ht="19.95" customHeight="1"/>
    <row r="913" ht="19.95" customHeight="1"/>
    <row r="914" ht="19.95" customHeight="1"/>
    <row r="915" ht="19.95" customHeight="1"/>
    <row r="916" ht="19.95" customHeight="1"/>
    <row r="917" ht="19.95" customHeight="1"/>
    <row r="918" ht="19.95" customHeight="1"/>
    <row r="919" ht="19.95" customHeight="1"/>
    <row r="920" ht="19.95" customHeight="1"/>
    <row r="921" ht="19.95" customHeight="1"/>
    <row r="922" ht="19.95" customHeight="1"/>
    <row r="923" ht="19.95" customHeight="1"/>
    <row r="924" ht="19.95" customHeight="1"/>
    <row r="925" ht="19.95" customHeight="1"/>
    <row r="926" ht="19.95" customHeight="1"/>
    <row r="927" ht="19.95" customHeight="1"/>
    <row r="928" ht="19.95" customHeight="1"/>
    <row r="929" ht="19.95" customHeight="1"/>
    <row r="930" ht="19.95" customHeight="1"/>
    <row r="931" ht="19.95" customHeight="1"/>
    <row r="932" ht="19.95" customHeight="1"/>
    <row r="933" ht="19.95" customHeight="1"/>
    <row r="934" ht="19.95" customHeight="1"/>
    <row r="935" ht="19.95" customHeight="1"/>
    <row r="936" ht="19.95" customHeight="1"/>
    <row r="937" ht="19.95" customHeight="1"/>
    <row r="938" ht="19.95" customHeight="1"/>
    <row r="939" ht="19.95" customHeight="1"/>
    <row r="940" ht="19.95" customHeight="1"/>
    <row r="941" ht="19.95" customHeight="1"/>
    <row r="942" ht="19.95" customHeight="1"/>
    <row r="943" ht="19.95" customHeight="1"/>
    <row r="944" ht="19.95" customHeight="1"/>
    <row r="945" ht="19.95" customHeight="1"/>
    <row r="946" ht="19.95" customHeight="1"/>
    <row r="947" ht="19.95" customHeight="1"/>
    <row r="948" ht="19.95" customHeight="1"/>
    <row r="949" ht="19.95" customHeight="1"/>
    <row r="950" ht="19.95" customHeight="1"/>
    <row r="951" ht="19.95" customHeight="1"/>
    <row r="952" ht="19.95" customHeight="1"/>
    <row r="953" ht="19.95" customHeight="1"/>
    <row r="954" ht="19.95" customHeight="1"/>
    <row r="955" ht="19.95" customHeight="1"/>
    <row r="956" ht="19.95" customHeight="1"/>
    <row r="957" ht="19.95" customHeight="1"/>
    <row r="958" ht="19.95" customHeight="1"/>
    <row r="959" ht="19.95" customHeight="1"/>
    <row r="960" ht="19.95" customHeight="1"/>
    <row r="961" ht="19.95" customHeight="1"/>
    <row r="962" ht="19.95" customHeight="1"/>
    <row r="963" ht="19.95" customHeight="1"/>
    <row r="964" ht="19.95" customHeight="1"/>
    <row r="965" ht="19.95" customHeight="1"/>
    <row r="966" ht="19.95" customHeight="1"/>
    <row r="967" ht="19.95" customHeight="1"/>
    <row r="968" ht="19.95" customHeight="1"/>
    <row r="969" ht="19.95" customHeight="1"/>
    <row r="970" ht="19.95" customHeight="1"/>
    <row r="971" ht="19.95" customHeight="1"/>
    <row r="972" ht="19.95" customHeight="1"/>
    <row r="973" ht="19.95" customHeight="1"/>
    <row r="974" ht="19.95" customHeight="1"/>
    <row r="975" ht="19.95" customHeight="1"/>
    <row r="976" ht="19.95" customHeight="1"/>
    <row r="977" ht="19.95" customHeight="1"/>
    <row r="978" ht="19.95" customHeight="1"/>
    <row r="979" ht="19.95" customHeight="1"/>
    <row r="980" ht="19.95" customHeight="1"/>
    <row r="981" ht="19.95" customHeight="1"/>
    <row r="982" ht="19.95" customHeight="1"/>
    <row r="983" ht="19.95" customHeight="1"/>
    <row r="984" ht="19.95" customHeight="1"/>
    <row r="985" ht="19.95" customHeight="1"/>
    <row r="986" ht="19.95" customHeight="1"/>
    <row r="987" ht="19.95" customHeight="1"/>
    <row r="988" ht="19.95" customHeight="1"/>
    <row r="989" ht="19.95" customHeight="1"/>
    <row r="990" ht="19.95" customHeight="1"/>
    <row r="991" ht="19.95" customHeight="1"/>
    <row r="992" ht="19.95" customHeight="1"/>
    <row r="993" ht="19.95" customHeight="1"/>
    <row r="994" ht="19.95" customHeight="1"/>
    <row r="995" ht="19.95" customHeight="1"/>
    <row r="996" ht="19.95" customHeight="1"/>
    <row r="997" ht="19.95" customHeight="1"/>
    <row r="998" ht="19.95" customHeight="1"/>
    <row r="999" ht="19.95" customHeight="1"/>
    <row r="1000" ht="19.95" customHeight="1"/>
    <row r="1001" ht="19.95" customHeight="1"/>
    <row r="1002" ht="19.95" customHeight="1"/>
    <row r="1003" ht="19.95" customHeight="1"/>
    <row r="1004" ht="19.95" customHeight="1"/>
    <row r="1005" ht="19.95" customHeight="1"/>
    <row r="1006" ht="19.95" customHeight="1"/>
    <row r="1007" ht="19.95" customHeight="1"/>
    <row r="1008" ht="19.95" customHeight="1"/>
    <row r="1009" ht="19.95" customHeight="1"/>
    <row r="1010" ht="19.95" customHeight="1"/>
    <row r="1011" ht="19.95" customHeight="1"/>
    <row r="1012" ht="19.95" customHeight="1"/>
    <row r="1013" ht="19.95" customHeight="1"/>
    <row r="1014" ht="19.95" customHeight="1"/>
    <row r="1015" ht="19.95" customHeight="1"/>
    <row r="1016" ht="19.95" customHeight="1"/>
    <row r="1017" ht="19.95" customHeight="1"/>
    <row r="1018" ht="19.95" customHeight="1"/>
    <row r="1019" ht="19.95" customHeight="1"/>
    <row r="1020" ht="19.95" customHeight="1"/>
    <row r="1021" ht="19.95" customHeight="1"/>
    <row r="1022" ht="19.95" customHeight="1"/>
    <row r="1023" ht="19.95" customHeight="1"/>
    <row r="1024" ht="19.95" customHeight="1"/>
    <row r="1025" ht="19.95" customHeight="1"/>
    <row r="1026" ht="19.95" customHeight="1"/>
    <row r="1027" ht="19.95" customHeight="1"/>
    <row r="1028" ht="19.95" customHeight="1"/>
    <row r="1029" ht="19.95" customHeight="1"/>
    <row r="1030" ht="19.95" customHeight="1"/>
    <row r="1031" ht="19.95" customHeight="1"/>
    <row r="1032" ht="19.95" customHeight="1"/>
    <row r="1033" ht="19.95" customHeight="1"/>
    <row r="1034" ht="19.95" customHeight="1"/>
    <row r="1035" ht="19.95" customHeight="1"/>
    <row r="1036" ht="19.95" customHeight="1"/>
    <row r="1037" ht="19.95" customHeight="1"/>
    <row r="1038" ht="19.95" customHeight="1"/>
    <row r="1039" ht="19.95" customHeight="1"/>
    <row r="1040" ht="19.95" customHeight="1"/>
    <row r="1041" ht="19.95" customHeight="1"/>
    <row r="1042" ht="19.95" customHeight="1"/>
    <row r="1043" ht="19.95" customHeight="1"/>
    <row r="1044" ht="19.95" customHeight="1"/>
    <row r="1045" ht="19.95" customHeight="1"/>
    <row r="1046" ht="19.95" customHeight="1"/>
    <row r="1047" ht="19.95" customHeight="1"/>
    <row r="1048" ht="19.95" customHeight="1"/>
    <row r="1049" ht="19.95" customHeight="1"/>
    <row r="1050" ht="19.95" customHeight="1"/>
    <row r="1051" ht="19.95" customHeight="1"/>
    <row r="1052" ht="19.95" customHeight="1"/>
    <row r="1053" ht="19.95" customHeight="1"/>
    <row r="1054" ht="19.95" customHeight="1"/>
    <row r="1055" ht="19.95" customHeight="1"/>
    <row r="1056" ht="19.95" customHeight="1"/>
    <row r="1057" ht="19.95" customHeight="1"/>
    <row r="1058" ht="19.95" customHeight="1"/>
    <row r="1059" ht="19.95" customHeight="1"/>
    <row r="1060" ht="19.95" customHeight="1"/>
    <row r="1061" ht="19.95" customHeight="1"/>
    <row r="1062" ht="19.95" customHeight="1"/>
    <row r="1063" ht="19.95" customHeight="1"/>
    <row r="1064" ht="19.95" customHeight="1"/>
    <row r="1065" ht="19.95" customHeight="1"/>
    <row r="1066" ht="19.95" customHeight="1"/>
    <row r="1067" ht="19.95" customHeight="1"/>
    <row r="1068" ht="19.95" customHeight="1"/>
    <row r="1069" ht="19.95" customHeight="1"/>
    <row r="1070" ht="19.95" customHeight="1"/>
    <row r="1071" ht="19.95" customHeight="1"/>
    <row r="1072" ht="19.95" customHeight="1"/>
    <row r="1073" ht="19.95" customHeight="1"/>
    <row r="1074" ht="19.95" customHeight="1"/>
    <row r="1075" ht="19.95" customHeight="1"/>
    <row r="1076" ht="19.95" customHeight="1"/>
    <row r="1077" ht="19.95" customHeight="1"/>
    <row r="1078" ht="19.95" customHeight="1"/>
    <row r="1079" ht="19.95" customHeight="1"/>
    <row r="1080" ht="19.95" customHeight="1"/>
    <row r="1081" ht="19.95" customHeight="1"/>
    <row r="1082" ht="19.95" customHeight="1"/>
    <row r="1083" ht="19.95" customHeight="1"/>
    <row r="1084" ht="19.95" customHeight="1"/>
    <row r="1085" ht="19.95" customHeight="1"/>
    <row r="1086" ht="19.95" customHeight="1"/>
    <row r="1087" ht="19.95" customHeight="1"/>
    <row r="1088" ht="19.95" customHeight="1"/>
    <row r="1089" ht="19.95" customHeight="1"/>
    <row r="1090" ht="19.95" customHeight="1"/>
    <row r="1091" ht="19.95" customHeight="1"/>
    <row r="1092" ht="19.95" customHeight="1"/>
    <row r="1093" ht="19.95" customHeight="1"/>
    <row r="1094" ht="19.95" customHeight="1"/>
    <row r="1095" ht="19.95" customHeight="1"/>
    <row r="1096" ht="19.95" customHeight="1"/>
    <row r="1097" ht="19.95" customHeight="1"/>
    <row r="1098" ht="19.95" customHeight="1"/>
    <row r="1099" ht="19.95" customHeight="1"/>
    <row r="1100" ht="19.95" customHeight="1"/>
    <row r="1101" ht="19.95" customHeight="1"/>
    <row r="1102" ht="19.95" customHeight="1"/>
    <row r="1103" ht="19.95" customHeight="1"/>
    <row r="1104" ht="19.95" customHeight="1"/>
    <row r="1105" ht="19.95" customHeight="1"/>
    <row r="1106" ht="19.95" customHeight="1"/>
    <row r="1107" ht="19.95" customHeight="1"/>
    <row r="1108" ht="19.95" customHeight="1"/>
    <row r="1109" ht="19.95" customHeight="1"/>
    <row r="1110" ht="19.95" customHeight="1"/>
    <row r="1111" ht="19.95" customHeight="1"/>
    <row r="1112" ht="19.95" customHeight="1"/>
    <row r="1113" ht="19.95" customHeight="1"/>
    <row r="1114" ht="19.95" customHeight="1"/>
    <row r="1115" ht="19.95" customHeight="1"/>
    <row r="1116" ht="19.95" customHeight="1"/>
    <row r="1117" ht="19.95" customHeight="1"/>
    <row r="1118" ht="19.95" customHeight="1"/>
    <row r="1119" ht="19.95" customHeight="1"/>
    <row r="1120" ht="19.95" customHeight="1"/>
    <row r="1121" ht="19.95" customHeight="1"/>
    <row r="1122" ht="19.95" customHeight="1"/>
    <row r="1123" ht="19.95" customHeight="1"/>
    <row r="1124" ht="19.95" customHeight="1"/>
    <row r="1125" ht="19.95" customHeight="1"/>
    <row r="1126" ht="19.95" customHeight="1"/>
    <row r="1127" ht="19.95" customHeight="1"/>
    <row r="1128" ht="19.95" customHeight="1"/>
    <row r="1129" ht="19.95" customHeight="1"/>
    <row r="1130" ht="19.95" customHeight="1"/>
    <row r="1131" ht="19.95" customHeight="1"/>
    <row r="1132" ht="19.95" customHeight="1"/>
    <row r="1133" ht="19.95" customHeight="1"/>
    <row r="1134" ht="19.95" customHeight="1"/>
    <row r="1135" ht="19.95" customHeight="1"/>
    <row r="1136" ht="19.95" customHeight="1"/>
    <row r="1137" ht="19.95" customHeight="1"/>
    <row r="1138" ht="19.95" customHeight="1"/>
    <row r="1139" ht="19.95" customHeight="1"/>
    <row r="1140" ht="19.95" customHeight="1"/>
    <row r="1141" ht="19.95" customHeight="1"/>
    <row r="1142" ht="19.95" customHeight="1"/>
    <row r="1143" ht="19.95" customHeight="1"/>
    <row r="1144" ht="19.95" customHeight="1"/>
    <row r="1145" ht="19.95" customHeight="1"/>
    <row r="1146" ht="19.95" customHeight="1"/>
    <row r="1147" ht="19.95" customHeight="1"/>
    <row r="1148" ht="19.95" customHeight="1"/>
    <row r="1149" ht="19.95" customHeight="1"/>
    <row r="1150" ht="19.95" customHeight="1"/>
    <row r="1151" ht="19.95" customHeight="1"/>
    <row r="1152" ht="19.95" customHeight="1"/>
    <row r="1153" ht="19.95" customHeight="1"/>
    <row r="1154" ht="19.95" customHeight="1"/>
    <row r="1155" ht="19.95" customHeight="1"/>
    <row r="1156" ht="19.95" customHeight="1"/>
    <row r="1157" ht="19.95" customHeight="1"/>
    <row r="1158" ht="19.95" customHeight="1"/>
    <row r="1159" ht="19.95" customHeight="1"/>
    <row r="1160" ht="19.95" customHeight="1"/>
    <row r="1161" ht="19.95" customHeight="1"/>
    <row r="1162" ht="19.95" customHeight="1"/>
    <row r="1163" ht="19.95" customHeight="1"/>
    <row r="1164" ht="19.95" customHeight="1"/>
    <row r="1165" ht="19.95" customHeight="1"/>
    <row r="1166" ht="19.95" customHeight="1"/>
    <row r="1167" ht="19.95" customHeight="1"/>
    <row r="1168" ht="19.95" customHeight="1"/>
    <row r="1169" ht="19.95" customHeight="1"/>
    <row r="1170" ht="19.95" customHeight="1"/>
    <row r="1171" ht="19.95" customHeight="1"/>
    <row r="1172" ht="19.95" customHeight="1"/>
    <row r="1173" ht="19.95" customHeight="1"/>
    <row r="1174" ht="19.95" customHeight="1"/>
    <row r="1175" ht="19.95" customHeight="1"/>
    <row r="1176" ht="19.95" customHeight="1"/>
    <row r="1177" ht="19.95" customHeight="1"/>
    <row r="1178" ht="19.95" customHeight="1"/>
    <row r="1179" ht="19.95" customHeight="1"/>
    <row r="1180" ht="19.95" customHeight="1"/>
    <row r="1181" ht="19.95" customHeight="1"/>
    <row r="1182" ht="19.95" customHeight="1"/>
    <row r="1183" ht="19.95" customHeight="1"/>
    <row r="1184" ht="19.95" customHeight="1"/>
    <row r="1185" ht="19.95" customHeight="1"/>
    <row r="1186" ht="19.95" customHeight="1"/>
    <row r="1187" ht="19.95" customHeight="1"/>
    <row r="1188" ht="19.95" customHeight="1"/>
    <row r="1189" ht="19.95" customHeight="1"/>
    <row r="1190" ht="19.95" customHeight="1"/>
    <row r="1191" ht="19.95" customHeight="1"/>
    <row r="1192" ht="19.95" customHeight="1"/>
    <row r="1193" ht="19.95" customHeight="1"/>
    <row r="1194" ht="19.95" customHeight="1"/>
    <row r="1195" ht="19.95" customHeight="1"/>
    <row r="1196" ht="19.95" customHeight="1"/>
    <row r="1197" ht="19.95" customHeight="1"/>
    <row r="1198" ht="19.95" customHeight="1"/>
    <row r="1199" ht="19.95" customHeight="1"/>
    <row r="1200" ht="19.95" customHeight="1"/>
    <row r="1201" ht="19.95" customHeight="1"/>
    <row r="1202" ht="19.95" customHeight="1"/>
    <row r="1203" ht="19.95" customHeight="1"/>
    <row r="1204" ht="19.95" customHeight="1"/>
    <row r="1205" ht="19.95" customHeight="1"/>
    <row r="1206" ht="19.95" customHeight="1"/>
    <row r="1207" ht="19.95" customHeight="1"/>
    <row r="1208" ht="19.95" customHeight="1"/>
    <row r="1209" ht="19.95" customHeight="1"/>
    <row r="1210" ht="19.95" customHeight="1"/>
    <row r="1211" ht="19.95" customHeight="1"/>
    <row r="1212" ht="19.95" customHeight="1"/>
    <row r="1213" ht="19.95" customHeight="1"/>
    <row r="1214" ht="19.95" customHeight="1"/>
    <row r="1215" ht="19.95" customHeight="1"/>
    <row r="1216" ht="19.95" customHeight="1"/>
    <row r="1217" ht="19.95" customHeight="1"/>
    <row r="1218" ht="19.95" customHeight="1"/>
    <row r="1219" ht="19.95" customHeight="1"/>
    <row r="1220" ht="19.95" customHeight="1"/>
    <row r="1221" ht="19.95" customHeight="1"/>
    <row r="1222" ht="19.95" customHeight="1"/>
    <row r="1223" ht="19.95" customHeight="1"/>
    <row r="1224" ht="19.95" customHeight="1"/>
    <row r="1225" ht="19.95" customHeight="1"/>
    <row r="1226" ht="19.95" customHeight="1"/>
    <row r="1227" ht="19.95" customHeight="1"/>
    <row r="1228" ht="19.95" customHeight="1"/>
    <row r="1229" ht="34.05" customHeight="1"/>
    <row r="1232" ht="25.05" customHeight="1"/>
    <row r="1233" ht="25.05" customHeight="1"/>
    <row r="1234" ht="25.05" customHeight="1"/>
  </sheetData>
  <mergeCells count="37">
    <mergeCell ref="B31:B43"/>
    <mergeCell ref="X77:Y77"/>
    <mergeCell ref="B18:B19"/>
    <mergeCell ref="A77:K77"/>
    <mergeCell ref="B12:B15"/>
    <mergeCell ref="B8:B9"/>
    <mergeCell ref="A74:F74"/>
    <mergeCell ref="A5:A7"/>
    <mergeCell ref="A81:J81"/>
    <mergeCell ref="G5:K6"/>
    <mergeCell ref="U5:U7"/>
    <mergeCell ref="A79:K79"/>
    <mergeCell ref="A78:E78"/>
    <mergeCell ref="V78:W78"/>
    <mergeCell ref="X78:Y78"/>
    <mergeCell ref="V77:W77"/>
    <mergeCell ref="B44:B56"/>
    <mergeCell ref="E6:E7"/>
    <mergeCell ref="B10:B11"/>
    <mergeCell ref="B6:B7"/>
    <mergeCell ref="A3:Z3"/>
    <mergeCell ref="Q75:S75"/>
    <mergeCell ref="A1:Y1"/>
    <mergeCell ref="B20:B30"/>
    <mergeCell ref="L5:T6"/>
    <mergeCell ref="A2:Z2"/>
    <mergeCell ref="V81:Y81"/>
    <mergeCell ref="V5:V7"/>
    <mergeCell ref="W5:W7"/>
    <mergeCell ref="Y5:Y7"/>
    <mergeCell ref="F78:K78"/>
    <mergeCell ref="X5:X7"/>
    <mergeCell ref="B16:B17"/>
    <mergeCell ref="C6:C7"/>
    <mergeCell ref="D6:D7"/>
    <mergeCell ref="F6:F7"/>
    <mergeCell ref="Z5:Z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G73"/>
  <sheetViews>
    <sheetView zoomScale="60" zoomScaleNormal="60" workbookViewId="0">
      <pane ySplit="5" topLeftCell="A6" activePane="bottomLeft" state="frozen"/>
      <selection pane="bottomLeft" activeCell="P7" sqref="P7:P8"/>
    </sheetView>
  </sheetViews>
  <sheetFormatPr baseColWidth="8" defaultColWidth="8.69921875" defaultRowHeight="13.8"/>
  <cols>
    <col width="13.296875" customWidth="1" min="2" max="2"/>
    <col width="21.5" customWidth="1" min="3" max="3"/>
    <col width="16" customWidth="1" min="4" max="4"/>
    <col width="7.59765625" customWidth="1" min="5" max="12"/>
    <col width="9.5" customWidth="1" min="13" max="13"/>
    <col width="12" customWidth="1" min="14" max="14"/>
    <col width="14.3984375" customWidth="1" min="15" max="15"/>
    <col width="18.3984375" customWidth="1" style="1" min="16" max="16"/>
    <col width="22.8984375" customWidth="1" min="17" max="17"/>
    <col width="13.5" customWidth="1" min="19" max="19"/>
    <col width="15.5" customWidth="1" min="20" max="20"/>
    <col width="7.59765625" customWidth="1" min="21" max="29"/>
    <col width="13.5" customWidth="1" min="30" max="30"/>
    <col width="14.5" customWidth="1" min="31" max="32"/>
    <col width="14.8984375" customWidth="1" style="1" min="33" max="33"/>
    <col width="14.8984375" customWidth="1" min="34" max="34"/>
  </cols>
  <sheetData>
    <row r="1" ht="24.6" customHeight="1">
      <c r="B1" s="269" t="inlineStr">
        <is>
          <t xml:space="preserve"> BẢNG THỐNG KÊ  KHỐI LƯỢNG CỌC NHẬP VỀ </t>
        </is>
      </c>
      <c r="Q1" s="1" t="n"/>
    </row>
    <row r="2" ht="15.6" customHeight="1">
      <c r="B2" s="50" t="n"/>
      <c r="C2" s="51" t="n"/>
      <c r="D2" s="270" t="n"/>
      <c r="E2" s="324" t="n"/>
      <c r="F2" s="324" t="n"/>
      <c r="G2" s="324" t="n"/>
      <c r="H2" s="324" t="n"/>
      <c r="I2" s="324" t="n"/>
      <c r="J2" s="324" t="n"/>
      <c r="K2" s="324" t="n"/>
      <c r="L2" s="324" t="n"/>
      <c r="M2" s="324" t="n"/>
      <c r="N2" s="324" t="n"/>
      <c r="O2" s="324" t="n"/>
      <c r="P2" s="71" t="n"/>
      <c r="Q2" s="1" t="n"/>
    </row>
    <row r="3" ht="22.05" customHeight="1">
      <c r="B3" s="278" t="inlineStr">
        <is>
          <t>STT</t>
        </is>
      </c>
      <c r="C3" s="278" t="inlineStr">
        <is>
          <t>Ngày xuất</t>
        </is>
      </c>
      <c r="D3" s="281" t="inlineStr">
        <is>
          <t>Số phiếu</t>
        </is>
      </c>
      <c r="E3" s="263" t="inlineStr">
        <is>
          <t>Chủng loại PHC-A350</t>
        </is>
      </c>
      <c r="F3" s="351" t="n"/>
      <c r="G3" s="351" t="n"/>
      <c r="H3" s="351" t="n"/>
      <c r="I3" s="351" t="n"/>
      <c r="J3" s="351" t="n"/>
      <c r="K3" s="351" t="n"/>
      <c r="L3" s="351" t="n"/>
      <c r="M3" s="352" t="n"/>
      <c r="N3" s="263" t="inlineStr">
        <is>
          <t>Xe vận chuyển</t>
        </is>
      </c>
      <c r="O3" s="353">
        <f>"Tổng số m cọc D"&amp;E4</f>
        <v/>
      </c>
      <c r="P3" s="263" t="inlineStr">
        <is>
          <t>đơn vị</t>
        </is>
      </c>
      <c r="Q3" s="263" t="inlineStr">
        <is>
          <t>Ghi chú</t>
        </is>
      </c>
    </row>
    <row r="4" ht="25.95" customHeight="1">
      <c r="B4" s="309" t="n"/>
      <c r="C4" s="309" t="n"/>
      <c r="D4" s="309" t="n"/>
      <c r="E4" s="354" t="inlineStr">
        <is>
          <t>D400</t>
        </is>
      </c>
      <c r="F4" s="351" t="n"/>
      <c r="G4" s="351" t="n"/>
      <c r="H4" s="351" t="n"/>
      <c r="I4" s="351" t="n"/>
      <c r="J4" s="351" t="n"/>
      <c r="K4" s="351" t="n"/>
      <c r="L4" s="351" t="n"/>
      <c r="M4" s="352" t="n"/>
      <c r="N4" s="309" t="n"/>
      <c r="O4" s="309" t="n"/>
      <c r="P4" s="309" t="n"/>
      <c r="Q4" s="309" t="n"/>
    </row>
    <row r="5" ht="27" customHeight="1">
      <c r="B5" s="335" t="n"/>
      <c r="C5" s="335" t="n"/>
      <c r="D5" s="335" t="n"/>
      <c r="E5" s="52" t="n">
        <v>6</v>
      </c>
      <c r="F5" s="52" t="n">
        <v>7</v>
      </c>
      <c r="G5" s="52" t="n">
        <v>8</v>
      </c>
      <c r="H5" s="52" t="n">
        <v>9</v>
      </c>
      <c r="I5" s="52" t="n">
        <v>10</v>
      </c>
      <c r="J5" s="52" t="n">
        <v>11</v>
      </c>
      <c r="K5" s="52" t="n">
        <v>12</v>
      </c>
      <c r="L5" s="52" t="n">
        <v>13</v>
      </c>
      <c r="M5" s="52" t="n">
        <v>14</v>
      </c>
      <c r="N5" s="335" t="n"/>
      <c r="O5" s="335" t="n"/>
      <c r="P5" s="335" t="n"/>
      <c r="Q5" s="335" t="n"/>
    </row>
    <row r="6" ht="18" customHeight="1">
      <c r="B6" s="53" t="n">
        <v>1</v>
      </c>
      <c r="C6" s="280" t="n">
        <v>46041</v>
      </c>
      <c r="D6" s="55" t="n">
        <v>2600357</v>
      </c>
      <c r="E6" s="56" t="n"/>
      <c r="F6" s="56" t="n"/>
      <c r="G6" s="56" t="n"/>
      <c r="H6" s="56" t="n"/>
      <c r="I6" s="56" t="n"/>
      <c r="J6" s="56" t="n"/>
      <c r="K6" s="56" t="n"/>
      <c r="L6" s="56" t="n">
        <v>9</v>
      </c>
      <c r="M6" s="56" t="n"/>
      <c r="N6" s="355" t="n"/>
      <c r="O6" s="73">
        <f>E6*$E$5+F6*$F$5+G6*$G$5+H6*$H$5+I6*$I$5+J6*$J$5+K6*$K$5+L6*$L$5+M6*$M$5</f>
        <v/>
      </c>
      <c r="P6" s="74" t="inlineStr">
        <is>
          <t>TRƯỜNG SƠN</t>
        </is>
      </c>
      <c r="Q6" s="84" t="n"/>
    </row>
    <row r="7" ht="18" customHeight="1">
      <c r="B7" s="53" t="n">
        <v>2</v>
      </c>
      <c r="C7" s="280" t="n">
        <v>46083</v>
      </c>
      <c r="D7" s="55" t="n">
        <v>1631</v>
      </c>
      <c r="E7" s="56" t="n"/>
      <c r="F7" s="56" t="n"/>
      <c r="G7" s="56" t="n"/>
      <c r="H7" s="56" t="n"/>
      <c r="I7" s="56" t="n"/>
      <c r="J7" s="56" t="n"/>
      <c r="K7" s="56" t="n"/>
      <c r="L7" s="56" t="n">
        <v>24</v>
      </c>
      <c r="M7" s="56" t="n"/>
      <c r="N7" s="355" t="n"/>
      <c r="O7" s="73">
        <f>E7*$E$5+F7*$F$5+G7*$G$5+H7*$H$5+I7*$I$5+J7*$J$5+K7*$K$5+L7*$L$5+M7*$M$5</f>
        <v/>
      </c>
      <c r="P7" s="74" t="inlineStr">
        <is>
          <t>PETRO</t>
        </is>
      </c>
      <c r="Q7" s="84" t="n"/>
    </row>
    <row r="8" ht="18" customHeight="1">
      <c r="B8" s="53" t="n">
        <v>3</v>
      </c>
      <c r="C8" s="335" t="n"/>
      <c r="D8" s="55" t="n">
        <v>1633</v>
      </c>
      <c r="E8" s="56" t="n"/>
      <c r="F8" s="56" t="n"/>
      <c r="G8" s="56" t="n"/>
      <c r="H8" s="56" t="n"/>
      <c r="I8" s="56" t="n"/>
      <c r="J8" s="56" t="n"/>
      <c r="K8" s="56" t="n"/>
      <c r="L8" s="56" t="n">
        <v>24</v>
      </c>
      <c r="M8" s="56" t="n"/>
      <c r="N8" s="355" t="n"/>
      <c r="O8" s="73">
        <f>E8*$E$5+F8*$F$5+G8*$G$5+H8*$H$5+I8*$I$5+J8*$J$5+K8*$K$5+L8*$L$5+M8*$M$5</f>
        <v/>
      </c>
      <c r="P8" s="74" t="inlineStr">
        <is>
          <t>PETRO</t>
        </is>
      </c>
      <c r="Q8" s="84" t="n"/>
    </row>
    <row r="9" ht="18" customHeight="1">
      <c r="B9" s="53" t="n"/>
      <c r="C9" s="280" t="n"/>
      <c r="D9" s="55" t="n"/>
      <c r="E9" s="56" t="n"/>
      <c r="F9" s="56" t="n"/>
      <c r="G9" s="56" t="n"/>
      <c r="H9" s="56" t="n"/>
      <c r="I9" s="56" t="n"/>
      <c r="J9" s="56" t="n"/>
      <c r="K9" s="56" t="n"/>
      <c r="L9" s="56" t="n"/>
      <c r="M9" s="56" t="n"/>
      <c r="N9" s="355" t="n"/>
      <c r="O9" s="73">
        <f>E9*$E$5+F9*$F$5+G9*$G$5+H9*$H$5+I9*$I$5+J9*$J$5+K9*$K$5+L9*$L$5+M9*$M$5</f>
        <v/>
      </c>
      <c r="P9" s="74" t="n"/>
      <c r="Q9" s="84" t="n"/>
    </row>
    <row r="10" ht="18" customHeight="1">
      <c r="B10" s="53" t="n">
        <v>50</v>
      </c>
      <c r="C10" s="280" t="n"/>
      <c r="D10" s="55" t="n"/>
      <c r="E10" s="56" t="n"/>
      <c r="F10" s="56" t="n"/>
      <c r="G10" s="56" t="n"/>
      <c r="H10" s="56" t="n"/>
      <c r="I10" s="56" t="n"/>
      <c r="J10" s="56" t="n"/>
      <c r="K10" s="56" t="n"/>
      <c r="L10" s="56" t="n"/>
      <c r="M10" s="56" t="n"/>
      <c r="N10" s="355" t="n"/>
      <c r="O10" s="73">
        <f>E10*$E$5+F10*$F$5+G10*$G$5+H10*$H$5+I10*$I$5+J10*$J$5+K10*$K$5+L10*$L$5+M10*$M$5</f>
        <v/>
      </c>
      <c r="P10" s="74" t="n"/>
      <c r="Q10" s="84" t="n"/>
    </row>
    <row r="11" ht="18" customHeight="1">
      <c r="B11" s="53" t="n">
        <v>51</v>
      </c>
      <c r="C11" s="58" t="n"/>
      <c r="D11" s="59" t="n"/>
      <c r="E11" s="56" t="n"/>
      <c r="F11" s="56" t="n"/>
      <c r="G11" s="56" t="n"/>
      <c r="H11" s="56" t="n"/>
      <c r="I11" s="56" t="n"/>
      <c r="J11" s="56" t="n"/>
      <c r="K11" s="56" t="n"/>
      <c r="L11" s="56" t="n"/>
      <c r="M11" s="56" t="n"/>
      <c r="N11" s="355" t="n"/>
      <c r="O11" s="73">
        <f>E11*$E$5+F11*$F$5+G11*$G$5+H11*$H$5+I11*$I$5+J11*$J$5+K11*$K$5+L11*$L$5+M11*$M$5</f>
        <v/>
      </c>
      <c r="P11" s="74" t="n"/>
      <c r="Q11" s="84" t="n"/>
    </row>
    <row r="12" ht="18" customHeight="1">
      <c r="B12" s="264" t="inlineStr">
        <is>
          <t>KL CỌC NHẬP VỀ</t>
        </is>
      </c>
      <c r="C12" s="351" t="n"/>
      <c r="D12" s="352" t="n"/>
      <c r="E12" s="60">
        <f>SUM(E6:E11)</f>
        <v/>
      </c>
      <c r="F12" s="60">
        <f>SUM(F6:F11)</f>
        <v/>
      </c>
      <c r="G12" s="60">
        <f>SUM(G6:G11)</f>
        <v/>
      </c>
      <c r="H12" s="60">
        <f>SUM(H6:H11)</f>
        <v/>
      </c>
      <c r="I12" s="60">
        <f>SUM(I6:I11)</f>
        <v/>
      </c>
      <c r="J12" s="60">
        <f>SUM(J6:J11)</f>
        <v/>
      </c>
      <c r="K12" s="60">
        <f>SUM(K6:K11)</f>
        <v/>
      </c>
      <c r="L12" s="60">
        <f>SUM(L6:L11)</f>
        <v/>
      </c>
      <c r="M12" s="60">
        <f>SUM(M6:M11)</f>
        <v/>
      </c>
      <c r="N12" s="64">
        <f>SUM(E12:M12)</f>
        <v/>
      </c>
      <c r="O12" s="75">
        <f>SUM(O6:O11)</f>
        <v/>
      </c>
      <c r="P12" s="74" t="n"/>
      <c r="Q12" s="84" t="n"/>
    </row>
    <row r="13" ht="18" customHeight="1">
      <c r="B13" s="264" t="inlineStr">
        <is>
          <t>KL CỌC THI CÔNG</t>
        </is>
      </c>
      <c r="C13" s="351" t="n"/>
      <c r="D13" s="352" t="n"/>
      <c r="E13" s="61">
        <f>'ÉP D350'!L10</f>
        <v/>
      </c>
      <c r="F13" s="62">
        <f>'ÉP D350'!M10</f>
        <v/>
      </c>
      <c r="G13" s="61">
        <f>'ÉP D350'!N10</f>
        <v/>
      </c>
      <c r="H13" s="61">
        <f>'ÉP D350'!O10</f>
        <v/>
      </c>
      <c r="I13" s="61">
        <f>'ÉP D350'!P10</f>
        <v/>
      </c>
      <c r="J13" s="61">
        <f>'ÉP D350'!Q10</f>
        <v/>
      </c>
      <c r="K13" s="61">
        <f>'ÉP D350'!R23</f>
        <v/>
      </c>
      <c r="L13" s="61">
        <f>'ÉP D350'!S23</f>
        <v/>
      </c>
      <c r="M13" s="61">
        <f>'ÉP D350'!T23</f>
        <v/>
      </c>
      <c r="N13" s="56">
        <f>J13+L13</f>
        <v/>
      </c>
      <c r="O13" s="75" t="n"/>
      <c r="P13" s="74" t="n"/>
      <c r="Q13" s="84" t="n"/>
    </row>
    <row r="14" ht="18" customHeight="1">
      <c r="B14" s="264" t="inlineStr">
        <is>
          <t>KL CỌC LOẠI</t>
        </is>
      </c>
      <c r="C14" s="351" t="n"/>
      <c r="D14" s="352" t="n"/>
      <c r="E14" s="63" t="n"/>
      <c r="F14" s="63" t="n"/>
      <c r="G14" s="63" t="n"/>
      <c r="H14" s="63" t="n"/>
      <c r="I14" s="63" t="n"/>
      <c r="J14" s="63" t="n"/>
      <c r="K14" s="63" t="n"/>
      <c r="L14" s="63" t="n"/>
      <c r="M14" s="76" t="n"/>
      <c r="N14" s="56" t="n"/>
      <c r="O14" s="77" t="n"/>
      <c r="P14" s="78" t="n"/>
      <c r="Q14" s="84" t="n"/>
    </row>
    <row r="15" ht="18" customHeight="1">
      <c r="B15" s="264" t="inlineStr">
        <is>
          <t>KL CỌC CÒN LẠI</t>
        </is>
      </c>
      <c r="C15" s="351" t="n"/>
      <c r="D15" s="352" t="n"/>
      <c r="E15" s="64">
        <f>E12-E13-E14</f>
        <v/>
      </c>
      <c r="F15" s="64">
        <f>F12-F13-F14</f>
        <v/>
      </c>
      <c r="G15" s="64">
        <f>G12-G13-G14</f>
        <v/>
      </c>
      <c r="H15" s="64">
        <f>H12-H13-H14</f>
        <v/>
      </c>
      <c r="I15" s="64">
        <f>I12-I13-I14</f>
        <v/>
      </c>
      <c r="J15" s="64">
        <f>J12-J13-J14</f>
        <v/>
      </c>
      <c r="K15" s="64">
        <f>K12-K13-K14</f>
        <v/>
      </c>
      <c r="L15" s="64">
        <f>L12-L13-L14</f>
        <v/>
      </c>
      <c r="M15" s="64">
        <f>M12-M13-M14</f>
        <v/>
      </c>
      <c r="N15" s="79" t="n"/>
      <c r="O15" s="75" t="n"/>
      <c r="P15" s="74" t="n"/>
      <c r="Q15" s="84" t="n"/>
    </row>
    <row r="16" ht="18" customHeight="1">
      <c r="B16" s="65" t="n"/>
      <c r="C16" s="66" t="n"/>
      <c r="D16" s="67" t="n"/>
      <c r="E16" s="68" t="n"/>
      <c r="F16" s="68" t="n"/>
      <c r="G16" s="68" t="n"/>
      <c r="H16" s="68" t="n"/>
      <c r="I16" s="68" t="n"/>
      <c r="J16" s="68" t="n"/>
      <c r="K16" s="68" t="n"/>
      <c r="L16" s="68" t="n"/>
      <c r="M16" s="80" t="n"/>
      <c r="N16" s="68" t="n"/>
      <c r="O16" s="68" t="n"/>
      <c r="P16" s="81" t="n"/>
      <c r="Q16" s="1" t="n"/>
    </row>
    <row r="17" ht="18" customHeight="1">
      <c r="B17" s="268" t="inlineStr">
        <is>
          <t>MAIN CONTRACTOR / NHÀ THẦU CHÍNH</t>
        </is>
      </c>
      <c r="L17" s="268" t="inlineStr">
        <is>
          <t>SUBCONTRACTORS / NHÀ THẦU PHỤ</t>
        </is>
      </c>
      <c r="P17" s="81" t="n"/>
      <c r="Q17" s="1" t="n"/>
    </row>
    <row r="18" ht="18" customHeight="1">
      <c r="B18" s="69" t="n"/>
      <c r="C18" s="356" t="n"/>
      <c r="D18" s="67" t="n"/>
      <c r="E18" s="68" t="n"/>
      <c r="F18" s="68" t="n"/>
      <c r="G18" s="68" t="n"/>
      <c r="H18" s="68" t="n"/>
      <c r="I18" s="68" t="n"/>
      <c r="J18" s="68" t="n"/>
      <c r="K18" s="68" t="n"/>
      <c r="L18" s="68" t="n"/>
      <c r="M18" s="82" t="n"/>
      <c r="N18" s="83" t="n"/>
      <c r="O18" s="68" t="n"/>
      <c r="P18" s="81" t="n"/>
      <c r="Q18" s="1" t="n"/>
    </row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22.95" customHeight="1"/>
    <row r="72" ht="22.95" customHeight="1"/>
    <row r="73"/>
  </sheetData>
  <mergeCells count="18">
    <mergeCell ref="B14:D14"/>
    <mergeCell ref="D2:O2"/>
    <mergeCell ref="O3:O5"/>
    <mergeCell ref="B17:K17"/>
    <mergeCell ref="Q3:Q5"/>
    <mergeCell ref="L17:O17"/>
    <mergeCell ref="C3:C5"/>
    <mergeCell ref="C7:C8"/>
    <mergeCell ref="N3:N5"/>
    <mergeCell ref="P3:P5"/>
    <mergeCell ref="B13:D13"/>
    <mergeCell ref="B1:P1"/>
    <mergeCell ref="D3:D5"/>
    <mergeCell ref="B3:B5"/>
    <mergeCell ref="E3:M3"/>
    <mergeCell ref="B15:D15"/>
    <mergeCell ref="B12:D12"/>
    <mergeCell ref="E4:M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G78"/>
  <sheetViews>
    <sheetView zoomScale="60" zoomScaleNormal="60" workbookViewId="0">
      <pane ySplit="5" topLeftCell="A6" activePane="bottomLeft" state="frozen"/>
      <selection pane="bottomLeft" activeCell="O24" sqref="O24"/>
    </sheetView>
  </sheetViews>
  <sheetFormatPr baseColWidth="8" defaultColWidth="8.69921875" defaultRowHeight="13.8"/>
  <cols>
    <col width="13.296875" customWidth="1" min="2" max="2"/>
    <col width="21.5" customWidth="1" min="3" max="3"/>
    <col width="16" customWidth="1" min="4" max="4"/>
    <col width="7.59765625" customWidth="1" min="5" max="12"/>
    <col width="9.5" customWidth="1" min="13" max="13"/>
    <col width="12" customWidth="1" min="14" max="14"/>
    <col width="14.3984375" customWidth="1" min="15" max="15"/>
    <col width="18.3984375" customWidth="1" style="1" min="16" max="16"/>
    <col width="22.8984375" customWidth="1" min="17" max="17"/>
    <col width="13.5" customWidth="1" min="19" max="19"/>
    <col width="15.5" customWidth="1" min="20" max="20"/>
    <col width="7.59765625" customWidth="1" min="21" max="29"/>
    <col width="13.5" customWidth="1" min="30" max="30"/>
    <col width="14.5" customWidth="1" min="31" max="32"/>
    <col width="14.8984375" customWidth="1" style="1" min="33" max="33"/>
    <col width="14.8984375" customWidth="1" min="34" max="34"/>
  </cols>
  <sheetData>
    <row r="1" ht="24.6" customHeight="1">
      <c r="B1" s="269" t="inlineStr">
        <is>
          <t xml:space="preserve"> BẢNG THỐNG KÊ  KHỐI LƯỢNG CỌC NHẬP VỀ </t>
        </is>
      </c>
      <c r="Q1" s="1" t="n"/>
    </row>
    <row r="2" ht="15.6" customHeight="1">
      <c r="B2" s="50" t="n"/>
      <c r="C2" s="51" t="n"/>
      <c r="D2" s="270" t="n"/>
      <c r="E2" s="324" t="n"/>
      <c r="F2" s="324" t="n"/>
      <c r="G2" s="324" t="n"/>
      <c r="H2" s="324" t="n"/>
      <c r="I2" s="324" t="n"/>
      <c r="J2" s="324" t="n"/>
      <c r="K2" s="324" t="n"/>
      <c r="L2" s="324" t="n"/>
      <c r="M2" s="324" t="n"/>
      <c r="N2" s="324" t="n"/>
      <c r="O2" s="324" t="n"/>
      <c r="P2" s="71" t="n"/>
      <c r="Q2" s="1" t="n"/>
    </row>
    <row r="3" ht="22.05" customHeight="1">
      <c r="B3" s="278" t="inlineStr">
        <is>
          <t>STT</t>
        </is>
      </c>
      <c r="C3" s="278" t="inlineStr">
        <is>
          <t>Ngày xuất</t>
        </is>
      </c>
      <c r="D3" s="281" t="inlineStr">
        <is>
          <t>Số phiếu</t>
        </is>
      </c>
      <c r="E3" s="263" t="inlineStr">
        <is>
          <t>Chủng loại PHC-A300</t>
        </is>
      </c>
      <c r="F3" s="351" t="n"/>
      <c r="G3" s="351" t="n"/>
      <c r="H3" s="351" t="n"/>
      <c r="I3" s="351" t="n"/>
      <c r="J3" s="351" t="n"/>
      <c r="K3" s="351" t="n"/>
      <c r="L3" s="351" t="n"/>
      <c r="M3" s="352" t="n"/>
      <c r="N3" s="263" t="inlineStr">
        <is>
          <t>Xe vận chuyển</t>
        </is>
      </c>
      <c r="O3" s="353">
        <f>"Tổng số m cọc D"&amp;E4</f>
        <v/>
      </c>
      <c r="P3" s="263" t="inlineStr">
        <is>
          <t>đơn vị</t>
        </is>
      </c>
      <c r="Q3" s="263" t="inlineStr">
        <is>
          <t>Ghi chú</t>
        </is>
      </c>
    </row>
    <row r="4" ht="25.95" customHeight="1">
      <c r="B4" s="309" t="n"/>
      <c r="C4" s="309" t="n"/>
      <c r="D4" s="309" t="n"/>
      <c r="E4" s="354" t="inlineStr">
        <is>
          <t>D400</t>
        </is>
      </c>
      <c r="F4" s="351" t="n"/>
      <c r="G4" s="351" t="n"/>
      <c r="H4" s="351" t="n"/>
      <c r="I4" s="351" t="n"/>
      <c r="J4" s="351" t="n"/>
      <c r="K4" s="351" t="n"/>
      <c r="L4" s="351" t="n"/>
      <c r="M4" s="352" t="n"/>
      <c r="N4" s="309" t="n"/>
      <c r="O4" s="309" t="n"/>
      <c r="P4" s="309" t="n"/>
      <c r="Q4" s="309" t="n"/>
    </row>
    <row r="5" ht="27" customHeight="1">
      <c r="B5" s="335" t="n"/>
      <c r="C5" s="335" t="n"/>
      <c r="D5" s="335" t="n"/>
      <c r="E5" s="52" t="n">
        <v>6</v>
      </c>
      <c r="F5" s="52" t="n">
        <v>7</v>
      </c>
      <c r="G5" s="52" t="n">
        <v>8</v>
      </c>
      <c r="H5" s="52" t="n">
        <v>9</v>
      </c>
      <c r="I5" s="52" t="n">
        <v>10</v>
      </c>
      <c r="J5" s="52" t="n">
        <v>11</v>
      </c>
      <c r="K5" s="52" t="n">
        <v>12</v>
      </c>
      <c r="L5" s="52" t="n">
        <v>13</v>
      </c>
      <c r="M5" s="52" t="n">
        <v>14</v>
      </c>
      <c r="N5" s="335" t="n"/>
      <c r="O5" s="335" t="n"/>
      <c r="P5" s="335" t="n"/>
      <c r="Q5" s="335" t="n"/>
    </row>
    <row r="6" ht="18" customHeight="1">
      <c r="B6" s="53" t="n">
        <v>1</v>
      </c>
      <c r="C6" s="280" t="n">
        <v>46042</v>
      </c>
      <c r="D6" s="55" t="n">
        <v>2600373</v>
      </c>
      <c r="E6" s="56" t="n"/>
      <c r="F6" s="56" t="n"/>
      <c r="G6" s="56" t="n"/>
      <c r="H6" s="56" t="n"/>
      <c r="I6" s="56" t="n">
        <v>10</v>
      </c>
      <c r="J6" s="56" t="n"/>
      <c r="K6" s="56" t="n"/>
      <c r="L6" s="56" t="n">
        <v>23</v>
      </c>
      <c r="M6" s="56" t="n"/>
      <c r="N6" s="355" t="n"/>
      <c r="O6" s="73">
        <f>E6*$E$5+F6*$F$5+G6*$G$5+H6*$H$5+I6*$I$5+J6*$J$5+K6*$K$5+L6*$L$5+M6*$M$5</f>
        <v/>
      </c>
      <c r="P6" s="74" t="inlineStr">
        <is>
          <t>TRƯỜNG SƠN</t>
        </is>
      </c>
      <c r="Q6" s="84" t="n"/>
    </row>
    <row r="7" ht="18" customHeight="1">
      <c r="B7" s="53" t="n">
        <v>2</v>
      </c>
      <c r="C7" s="280" t="n">
        <v>46059</v>
      </c>
      <c r="D7" s="55" t="n">
        <v>2600664</v>
      </c>
      <c r="E7" s="56" t="n"/>
      <c r="F7" s="56" t="n"/>
      <c r="G7" s="56" t="n"/>
      <c r="H7" s="56" t="n"/>
      <c r="I7" s="56" t="n">
        <v>17</v>
      </c>
      <c r="J7" s="56" t="n">
        <v>3</v>
      </c>
      <c r="K7" s="56" t="n">
        <v>12</v>
      </c>
      <c r="L7" s="56" t="n">
        <v>3</v>
      </c>
      <c r="M7" s="56" t="n"/>
      <c r="N7" s="355" t="n"/>
      <c r="O7" s="73">
        <f>E7*$E$5+F7*$F$5+G7*$G$5+H7*$H$5+I7*$I$5+J7*$J$5+K7*$K$5+L7*$L$5+M7*$M$5</f>
        <v/>
      </c>
      <c r="P7" s="74" t="inlineStr">
        <is>
          <t>TRƯỜNG SƠN</t>
        </is>
      </c>
      <c r="Q7" s="84" t="n"/>
    </row>
    <row r="8" ht="18" customHeight="1">
      <c r="B8" s="53" t="n">
        <v>3</v>
      </c>
      <c r="C8" s="283" t="n">
        <v>46079</v>
      </c>
      <c r="D8" s="55" t="n">
        <v>1500</v>
      </c>
      <c r="E8" s="56" t="n"/>
      <c r="F8" s="56" t="n"/>
      <c r="G8" s="56" t="n"/>
      <c r="H8" s="56" t="n"/>
      <c r="I8" s="56" t="n"/>
      <c r="J8" s="56" t="n"/>
      <c r="K8" s="56" t="n">
        <v>30</v>
      </c>
      <c r="L8" s="56" t="n"/>
      <c r="M8" s="56" t="n"/>
      <c r="N8" s="355" t="n"/>
      <c r="O8" s="73">
        <f>E8*$E$5+F8*$F$5+G8*$G$5+H8*$H$5+I8*$I$5+J8*$J$5+K8*$K$5+L8*$L$5+M8*$M$5</f>
        <v/>
      </c>
      <c r="P8" s="74" t="inlineStr">
        <is>
          <t>PETRO</t>
        </is>
      </c>
      <c r="Q8" s="84" t="n"/>
    </row>
    <row r="9" ht="18" customHeight="1">
      <c r="B9" s="53" t="n">
        <v>4</v>
      </c>
      <c r="C9" s="309" t="n"/>
      <c r="D9" s="55" t="n">
        <v>1494</v>
      </c>
      <c r="E9" s="56" t="n"/>
      <c r="F9" s="56" t="n"/>
      <c r="G9" s="56" t="n"/>
      <c r="H9" s="56" t="n"/>
      <c r="I9" s="56" t="n"/>
      <c r="J9" s="56" t="n"/>
      <c r="K9" s="56" t="n">
        <v>30</v>
      </c>
      <c r="L9" s="56" t="n"/>
      <c r="M9" s="56" t="n"/>
      <c r="N9" s="355" t="n"/>
      <c r="O9" s="73">
        <f>E9*$E$5+F9*$F$5+G9*$G$5+H9*$H$5+I9*$I$5+J9*$J$5+K9*$K$5+L9*$L$5+M9*$M$5</f>
        <v/>
      </c>
      <c r="P9" s="74" t="inlineStr">
        <is>
          <t>PETRO</t>
        </is>
      </c>
      <c r="Q9" s="84" t="n"/>
    </row>
    <row r="10" ht="18" customHeight="1">
      <c r="B10" s="53" t="n">
        <v>5</v>
      </c>
      <c r="C10" s="335" t="n"/>
      <c r="D10" s="55" t="n">
        <v>1499</v>
      </c>
      <c r="E10" s="56" t="n"/>
      <c r="F10" s="56" t="n"/>
      <c r="G10" s="56" t="n"/>
      <c r="H10" s="56" t="n"/>
      <c r="I10" s="56" t="n"/>
      <c r="J10" s="56" t="n"/>
      <c r="K10" s="56" t="n">
        <v>30</v>
      </c>
      <c r="L10" s="56" t="n"/>
      <c r="M10" s="56" t="n"/>
      <c r="N10" s="355" t="n"/>
      <c r="O10" s="73">
        <f>E10*$E$5+F10*$F$5+G10*$G$5+H10*$H$5+I10*$I$5+J10*$J$5+K10*$K$5+L10*$L$5+M10*$M$5</f>
        <v/>
      </c>
      <c r="P10" s="74" t="inlineStr">
        <is>
          <t>PETRO</t>
        </is>
      </c>
      <c r="Q10" s="84" t="n"/>
    </row>
    <row r="11" ht="18" customHeight="1">
      <c r="B11" s="53" t="n">
        <v>8</v>
      </c>
      <c r="C11" s="283" t="n">
        <v>46080</v>
      </c>
      <c r="D11" s="55" t="n">
        <v>1524</v>
      </c>
      <c r="E11" s="56" t="n"/>
      <c r="F11" s="56" t="n"/>
      <c r="G11" s="56" t="n"/>
      <c r="H11" s="56" t="n"/>
      <c r="I11" s="56" t="n"/>
      <c r="J11" s="56" t="n"/>
      <c r="K11" s="56" t="n">
        <v>30</v>
      </c>
      <c r="L11" s="56" t="n"/>
      <c r="M11" s="56" t="n"/>
      <c r="N11" s="355" t="n"/>
      <c r="O11" s="73">
        <f>E11*$E$5+F11*$F$5+G11*$G$5+H11*$H$5+I11*$I$5+J11*$J$5+K11*$K$5+L11*$L$5+M11*$M$5</f>
        <v/>
      </c>
      <c r="P11" s="74" t="inlineStr">
        <is>
          <t>PETRO</t>
        </is>
      </c>
      <c r="Q11" s="84" t="n"/>
    </row>
    <row r="12" ht="18" customHeight="1">
      <c r="B12" s="53" t="n">
        <v>10</v>
      </c>
      <c r="C12" s="283" t="n">
        <v>46082</v>
      </c>
      <c r="D12" s="55" t="n">
        <v>2600794</v>
      </c>
      <c r="E12" s="56" t="n"/>
      <c r="F12" s="56" t="n"/>
      <c r="G12" s="56" t="n"/>
      <c r="H12" s="56" t="n"/>
      <c r="I12" s="56" t="n">
        <v>27</v>
      </c>
      <c r="J12" s="56" t="n"/>
      <c r="K12" s="56" t="n">
        <v>8</v>
      </c>
      <c r="L12" s="56" t="n"/>
      <c r="M12" s="56" t="n"/>
      <c r="N12" s="355" t="n"/>
      <c r="O12" s="73">
        <f>E12*$E$5+F12*$F$5+G12*$G$5+H12*$H$5+I12*$I$5+J12*$J$5+K12*$K$5+L12*$L$5+M12*$M$5</f>
        <v/>
      </c>
      <c r="P12" s="74" t="inlineStr">
        <is>
          <t>TRƯỜNG SƠN</t>
        </is>
      </c>
      <c r="Q12" s="84" t="n"/>
    </row>
    <row r="13" ht="18" customHeight="1">
      <c r="B13" s="53" t="n"/>
      <c r="C13" s="280" t="n"/>
      <c r="D13" s="55" t="n"/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355" t="n"/>
      <c r="O13" s="73">
        <f>E13*$E$5+F13*$F$5+G13*$G$5+H13*$H$5+I13*$I$5+J13*$J$5+K13*$K$5+L13*$L$5+M13*$M$5</f>
        <v/>
      </c>
      <c r="P13" s="74" t="n"/>
      <c r="Q13" s="84" t="n"/>
    </row>
    <row r="14" ht="18" customHeight="1">
      <c r="B14" s="53" t="n"/>
      <c r="C14" s="280" t="n"/>
      <c r="D14" s="55" t="n"/>
      <c r="E14" s="56" t="n"/>
      <c r="F14" s="56" t="n"/>
      <c r="G14" s="56" t="n"/>
      <c r="H14" s="56" t="n"/>
      <c r="I14" s="56" t="n"/>
      <c r="J14" s="56" t="n"/>
      <c r="K14" s="56" t="n"/>
      <c r="L14" s="56" t="n"/>
      <c r="M14" s="56" t="n"/>
      <c r="N14" s="355" t="n"/>
      <c r="O14" s="73">
        <f>E14*$E$5+F14*$F$5+G14*$G$5+H14*$H$5+I14*$I$5+J14*$J$5+K14*$K$5+L14*$L$5+M14*$M$5</f>
        <v/>
      </c>
      <c r="P14" s="74" t="n"/>
      <c r="Q14" s="84" t="n"/>
    </row>
    <row r="15" ht="18" customHeight="1">
      <c r="B15" s="53" t="n">
        <v>50</v>
      </c>
      <c r="C15" s="280" t="n"/>
      <c r="D15" s="55" t="n"/>
      <c r="E15" s="56" t="n"/>
      <c r="F15" s="56" t="n"/>
      <c r="G15" s="56" t="n"/>
      <c r="H15" s="56" t="n"/>
      <c r="I15" s="56" t="n"/>
      <c r="J15" s="56" t="n"/>
      <c r="K15" s="56" t="n"/>
      <c r="L15" s="56" t="n"/>
      <c r="M15" s="56" t="n"/>
      <c r="N15" s="355" t="n"/>
      <c r="O15" s="73">
        <f>E15*$E$5+F15*$F$5+G15*$G$5+H15*$H$5+I15*$I$5+J15*$J$5+K15*$K$5+L15*$L$5+M15*$M$5</f>
        <v/>
      </c>
      <c r="P15" s="74" t="n"/>
      <c r="Q15" s="84" t="n"/>
    </row>
    <row r="16" ht="18" customHeight="1">
      <c r="B16" s="53" t="n">
        <v>51</v>
      </c>
      <c r="C16" s="58" t="n"/>
      <c r="D16" s="59" t="n"/>
      <c r="E16" s="56" t="n"/>
      <c r="F16" s="56" t="n"/>
      <c r="G16" s="56" t="n"/>
      <c r="H16" s="56" t="n"/>
      <c r="I16" s="56" t="n"/>
      <c r="J16" s="56" t="n"/>
      <c r="K16" s="56" t="n"/>
      <c r="L16" s="56" t="n"/>
      <c r="M16" s="56" t="n"/>
      <c r="N16" s="355" t="n"/>
      <c r="O16" s="73">
        <f>E16*$E$5+F16*$F$5+G16*$G$5+H16*$H$5+I16*$I$5+J16*$J$5+K16*$K$5+L16*$L$5+M16*$M$5</f>
        <v/>
      </c>
      <c r="P16" s="74" t="n"/>
      <c r="Q16" s="84" t="n"/>
    </row>
    <row r="17" ht="18" customHeight="1">
      <c r="B17" s="264" t="inlineStr">
        <is>
          <t>KL CỌC NHẬP VỀ</t>
        </is>
      </c>
      <c r="C17" s="351" t="n"/>
      <c r="D17" s="352" t="n"/>
      <c r="E17" s="60">
        <f>SUM(E6:E16)</f>
        <v/>
      </c>
      <c r="F17" s="60">
        <f>SUM(F6:F16)</f>
        <v/>
      </c>
      <c r="G17" s="60">
        <f>SUM(G6:G16)</f>
        <v/>
      </c>
      <c r="H17" s="60">
        <f>SUM(H6:H16)</f>
        <v/>
      </c>
      <c r="I17" s="60">
        <f>SUM(I6:I16)</f>
        <v/>
      </c>
      <c r="J17" s="60">
        <f>SUM(J6:J16)</f>
        <v/>
      </c>
      <c r="K17" s="60">
        <f>SUM(K6:K16)</f>
        <v/>
      </c>
      <c r="L17" s="60">
        <f>SUM(L6:L16)</f>
        <v/>
      </c>
      <c r="M17" s="60">
        <f>SUM(M6:M16)</f>
        <v/>
      </c>
      <c r="N17" s="64">
        <f>SUM(E17:M17)</f>
        <v/>
      </c>
      <c r="O17" s="75">
        <f>SUM(O6:O16)</f>
        <v/>
      </c>
      <c r="P17" s="74" t="n"/>
      <c r="Q17" s="84" t="n"/>
    </row>
    <row r="18" ht="18" customHeight="1">
      <c r="B18" s="264" t="inlineStr">
        <is>
          <t>KL CỌC THI CÔNG</t>
        </is>
      </c>
      <c r="C18" s="351" t="n"/>
      <c r="D18" s="352" t="n"/>
      <c r="E18" s="61">
        <f>'ÉP D300'!L61</f>
        <v/>
      </c>
      <c r="F18" s="62">
        <f>'ÉP D300'!M61</f>
        <v/>
      </c>
      <c r="G18" s="61">
        <f>'ÉP D300'!N61</f>
        <v/>
      </c>
      <c r="H18" s="61">
        <f>'ÉP D300'!O61</f>
        <v/>
      </c>
      <c r="I18" s="61">
        <f>'ÉP D300'!P61</f>
        <v/>
      </c>
      <c r="J18" s="61">
        <f>'ÉP D300'!Q61</f>
        <v/>
      </c>
      <c r="K18" s="61">
        <f>'ÉP D300'!R61</f>
        <v/>
      </c>
      <c r="L18" s="61">
        <f>'ÉP D300'!S61</f>
        <v/>
      </c>
      <c r="M18" s="61">
        <f>'ÉP D350'!T23</f>
        <v/>
      </c>
      <c r="N18" s="56">
        <f>J18+L18</f>
        <v/>
      </c>
      <c r="O18" s="75" t="n"/>
      <c r="P18" s="74" t="n"/>
      <c r="Q18" s="84" t="n"/>
    </row>
    <row r="19" ht="18" customHeight="1">
      <c r="B19" s="264" t="inlineStr">
        <is>
          <t>KL CỌC LOẠI</t>
        </is>
      </c>
      <c r="C19" s="351" t="n"/>
      <c r="D19" s="352" t="n"/>
      <c r="E19" s="63" t="n"/>
      <c r="F19" s="63" t="n"/>
      <c r="G19" s="63" t="n"/>
      <c r="H19" s="63" t="n"/>
      <c r="I19" s="63" t="n"/>
      <c r="J19" s="63" t="n"/>
      <c r="K19" s="63" t="n"/>
      <c r="L19" s="63" t="n"/>
      <c r="M19" s="76" t="n"/>
      <c r="N19" s="56" t="n"/>
      <c r="O19" s="77" t="n"/>
      <c r="P19" s="78" t="n"/>
      <c r="Q19" s="84" t="n"/>
    </row>
    <row r="20" ht="18" customHeight="1">
      <c r="B20" s="264" t="inlineStr">
        <is>
          <t>KL CỌC CÒN LẠI</t>
        </is>
      </c>
      <c r="C20" s="351" t="n"/>
      <c r="D20" s="352" t="n"/>
      <c r="E20" s="64">
        <f>E17-E18-E19</f>
        <v/>
      </c>
      <c r="F20" s="64">
        <f>F17-F18-F19</f>
        <v/>
      </c>
      <c r="G20" s="64">
        <f>G17-G18-G19</f>
        <v/>
      </c>
      <c r="H20" s="64">
        <f>H17-H18-H19</f>
        <v/>
      </c>
      <c r="I20" s="64">
        <f>I17-I18-I19</f>
        <v/>
      </c>
      <c r="J20" s="64">
        <f>J17-J18-J19</f>
        <v/>
      </c>
      <c r="K20" s="64">
        <f>K17-K18-K19</f>
        <v/>
      </c>
      <c r="L20" s="64">
        <f>L17-L18-L19</f>
        <v/>
      </c>
      <c r="M20" s="64">
        <f>M17-M18-M19</f>
        <v/>
      </c>
      <c r="N20" s="79" t="n"/>
      <c r="O20" s="75" t="n"/>
      <c r="P20" s="74" t="n"/>
      <c r="Q20" s="84" t="n"/>
    </row>
    <row r="21" ht="18" customHeight="1">
      <c r="B21" s="65" t="n"/>
      <c r="C21" s="66" t="n"/>
      <c r="D21" s="67" t="n"/>
      <c r="E21" s="68" t="n"/>
      <c r="F21" s="68" t="n"/>
      <c r="G21" s="68" t="n"/>
      <c r="H21" s="68" t="n"/>
      <c r="I21" s="68" t="n"/>
      <c r="J21" s="68" t="n"/>
      <c r="K21" s="68" t="n"/>
      <c r="L21" s="68" t="n"/>
      <c r="M21" s="80" t="n"/>
      <c r="N21" s="68" t="n"/>
      <c r="O21" s="68" t="n"/>
      <c r="P21" s="81" t="n"/>
      <c r="Q21" s="1" t="n"/>
    </row>
    <row r="22" ht="18" customHeight="1">
      <c r="B22" s="268" t="inlineStr">
        <is>
          <t>MAIN CONTRACTOR / NHÀ THẦU CHÍNH</t>
        </is>
      </c>
      <c r="L22" s="268" t="inlineStr">
        <is>
          <t>SUBCONTRACTORS / NHÀ THẦU PHỤ</t>
        </is>
      </c>
      <c r="P22" s="81" t="n"/>
      <c r="Q22" s="1" t="n"/>
    </row>
    <row r="23" ht="18" customHeight="1">
      <c r="B23" s="69" t="n"/>
      <c r="C23" s="356" t="n"/>
      <c r="D23" s="67" t="n"/>
      <c r="E23" s="68" t="n"/>
      <c r="F23" s="68" t="n"/>
      <c r="G23" s="68" t="n"/>
      <c r="H23" s="68" t="n"/>
      <c r="I23" s="68" t="n"/>
      <c r="J23" s="68" t="n"/>
      <c r="K23" s="68" t="n"/>
      <c r="L23" s="68" t="n"/>
      <c r="M23" s="82" t="n"/>
      <c r="N23" s="83" t="n"/>
      <c r="O23" s="68" t="n"/>
      <c r="P23" s="81" t="n"/>
      <c r="Q23" s="1" t="n"/>
    </row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22.95" customHeight="1"/>
    <row r="77" ht="22.95" customHeight="1"/>
    <row r="78"/>
  </sheetData>
  <mergeCells count="18">
    <mergeCell ref="B19:D19"/>
    <mergeCell ref="D2:O2"/>
    <mergeCell ref="B22:K22"/>
    <mergeCell ref="L22:O22"/>
    <mergeCell ref="O3:O5"/>
    <mergeCell ref="Q3:Q5"/>
    <mergeCell ref="C3:C5"/>
    <mergeCell ref="B17:D17"/>
    <mergeCell ref="N3:N5"/>
    <mergeCell ref="P3:P5"/>
    <mergeCell ref="B18:D18"/>
    <mergeCell ref="B1:P1"/>
    <mergeCell ref="D3:D5"/>
    <mergeCell ref="B3:B5"/>
    <mergeCell ref="E3:M3"/>
    <mergeCell ref="C8:C10"/>
    <mergeCell ref="E4:M4"/>
    <mergeCell ref="B20:D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E4" sqref="E4"/>
    </sheetView>
  </sheetViews>
  <sheetFormatPr baseColWidth="8" defaultColWidth="8.796875" defaultRowHeight="13.8"/>
  <cols>
    <col width="15" customWidth="1" min="2" max="2"/>
    <col width="8.796875" customWidth="1" min="3" max="3"/>
    <col width="8.796875" customWidth="1" style="1" min="4" max="4"/>
    <col width="46.09765625" customWidth="1" min="5" max="5"/>
    <col width="12.69921875" customWidth="1" min="6" max="6"/>
    <col width="10.796875" customWidth="1" min="7" max="7"/>
    <col width="14.69921875" customWidth="1" min="8" max="8"/>
    <col width="15.5" customWidth="1" min="9" max="9"/>
  </cols>
  <sheetData>
    <row r="1" ht="19.05" customFormat="1" customHeight="1" s="35">
      <c r="A1" s="285" t="inlineStr">
        <is>
          <t xml:space="preserve">STT </t>
        </is>
      </c>
      <c r="B1" s="285" t="inlineStr">
        <is>
          <t xml:space="preserve">Thới gian </t>
        </is>
      </c>
      <c r="C1" s="351" t="n"/>
      <c r="D1" s="352" t="n"/>
      <c r="E1" s="285" t="inlineStr">
        <is>
          <t>Nội dung công việc</t>
        </is>
      </c>
      <c r="F1" s="357" t="inlineStr">
        <is>
          <t>công nhật
300000</t>
        </is>
      </c>
      <c r="G1" s="285" t="inlineStr">
        <is>
          <t xml:space="preserve">Số người </t>
        </is>
      </c>
      <c r="H1" s="37" t="n"/>
      <c r="I1" s="47" t="n"/>
    </row>
    <row r="2" ht="24" customFormat="1" customHeight="1" s="35">
      <c r="A2" s="335" t="n"/>
      <c r="B2" s="285" t="n"/>
      <c r="C2" s="285" t="inlineStr">
        <is>
          <t>Sáng</t>
        </is>
      </c>
      <c r="D2" s="285" t="inlineStr">
        <is>
          <t>Chiều</t>
        </is>
      </c>
      <c r="E2" s="335" t="n"/>
      <c r="F2" s="335" t="n"/>
      <c r="G2" s="335" t="n"/>
      <c r="H2" s="37" t="n"/>
      <c r="I2" s="47" t="n"/>
    </row>
    <row r="3" ht="16.95" customFormat="1" customHeight="1" s="9">
      <c r="A3" s="38" t="n">
        <v>1</v>
      </c>
      <c r="B3" s="39" t="n">
        <v>46080</v>
      </c>
      <c r="C3" s="38" t="inlineStr">
        <is>
          <t>V</t>
        </is>
      </c>
      <c r="D3" s="38" t="inlineStr">
        <is>
          <t>V</t>
        </is>
      </c>
      <c r="E3" s="40" t="inlineStr">
        <is>
          <t>bò máy, vệ sinh , bơm mỡ</t>
        </is>
      </c>
      <c r="F3" s="41" t="n">
        <v>2</v>
      </c>
      <c r="G3" s="41" t="n">
        <v>2</v>
      </c>
      <c r="H3" s="284" t="n"/>
      <c r="I3" s="48" t="n"/>
    </row>
    <row r="4" ht="16.95" customFormat="1" customHeight="1" s="9">
      <c r="A4" s="38" t="n"/>
      <c r="B4" s="39" t="n"/>
      <c r="C4" s="38" t="n"/>
      <c r="D4" s="38" t="n"/>
      <c r="E4" s="40" t="n"/>
      <c r="F4" s="41" t="n"/>
      <c r="G4" s="41" t="n"/>
      <c r="I4" s="48" t="n"/>
    </row>
    <row r="5" ht="16.95" customFormat="1" customHeight="1" s="9">
      <c r="A5" s="38" t="n"/>
      <c r="B5" s="39" t="n"/>
      <c r="C5" s="38" t="n"/>
      <c r="D5" s="38" t="n"/>
      <c r="E5" s="40" t="n"/>
      <c r="F5" s="41" t="n"/>
      <c r="G5" s="41" t="n"/>
      <c r="I5" s="48" t="n"/>
    </row>
    <row r="6" ht="16.95" customFormat="1" customHeight="1" s="9">
      <c r="A6" s="38" t="n"/>
      <c r="B6" s="39" t="n"/>
      <c r="C6" s="38" t="n"/>
      <c r="D6" s="38" t="n"/>
      <c r="E6" s="40" t="n"/>
      <c r="F6" s="41" t="n"/>
      <c r="G6" s="41" t="n"/>
      <c r="I6" s="48" t="n"/>
    </row>
    <row r="7" ht="16.95" customFormat="1" customHeight="1" s="9">
      <c r="A7" s="38" t="n"/>
      <c r="B7" s="39" t="n"/>
      <c r="C7" s="38" t="n"/>
      <c r="D7" s="38" t="n"/>
      <c r="E7" s="40" t="n"/>
      <c r="F7" s="41" t="n"/>
      <c r="G7" s="41" t="n"/>
      <c r="I7" s="48" t="n"/>
    </row>
    <row r="8" ht="16.95" customFormat="1" customHeight="1" s="9">
      <c r="A8" s="38" t="n"/>
      <c r="B8" s="39" t="n"/>
      <c r="C8" s="38" t="n"/>
      <c r="D8" s="38" t="n"/>
      <c r="E8" s="40" t="n"/>
      <c r="F8" s="41" t="n"/>
      <c r="G8" s="41" t="n"/>
      <c r="I8" s="48" t="n"/>
    </row>
    <row r="9" ht="16.95" customFormat="1" customHeight="1" s="9">
      <c r="A9" s="38" t="n"/>
      <c r="B9" s="39" t="n"/>
      <c r="C9" s="38" t="n"/>
      <c r="D9" s="38" t="n"/>
      <c r="E9" s="40" t="n"/>
      <c r="F9" s="41" t="n"/>
      <c r="G9" s="41" t="n"/>
      <c r="I9" s="48" t="n"/>
    </row>
    <row r="10" ht="16.95" customFormat="1" customHeight="1" s="9">
      <c r="A10" s="38" t="n"/>
      <c r="B10" s="39" t="n"/>
      <c r="C10" s="38" t="n"/>
      <c r="D10" s="38" t="n"/>
      <c r="E10" s="40" t="n"/>
      <c r="F10" s="41" t="n"/>
      <c r="G10" s="41" t="n"/>
      <c r="I10" s="48" t="n"/>
    </row>
    <row r="11" ht="16.95" customFormat="1" customHeight="1" s="9">
      <c r="A11" s="38" t="n"/>
      <c r="B11" s="39" t="n"/>
      <c r="C11" s="38" t="n"/>
      <c r="D11" s="38" t="n"/>
      <c r="E11" s="40" t="n"/>
      <c r="F11" s="41" t="n"/>
      <c r="G11" s="41" t="n"/>
      <c r="I11" s="48" t="n"/>
    </row>
    <row r="12" ht="16.95" customFormat="1" customHeight="1" s="9">
      <c r="A12" s="38" t="n"/>
      <c r="B12" s="39" t="n"/>
      <c r="C12" s="38" t="n"/>
      <c r="D12" s="38" t="n"/>
      <c r="E12" s="40" t="n"/>
      <c r="F12" s="41" t="n"/>
      <c r="G12" s="41" t="n"/>
      <c r="I12" s="48" t="n"/>
    </row>
    <row r="13" ht="16.95" customFormat="1" customHeight="1" s="9">
      <c r="A13" s="38" t="n">
        <v>4</v>
      </c>
      <c r="B13" s="42" t="n"/>
      <c r="C13" s="41" t="n"/>
      <c r="D13" s="41" t="n"/>
      <c r="E13" s="43" t="n"/>
      <c r="F13" s="41" t="n"/>
      <c r="G13" s="41" t="n"/>
      <c r="I13" s="48" t="n"/>
    </row>
    <row r="14" ht="16.95" customFormat="1" customHeight="1" s="9">
      <c r="A14" s="43" t="n"/>
      <c r="B14" s="43" t="n"/>
      <c r="C14" s="43" t="n"/>
      <c r="D14" s="41" t="n"/>
      <c r="E14" s="43" t="n"/>
      <c r="F14" s="44">
        <f>SUM(F3:F13)</f>
        <v/>
      </c>
      <c r="G14" s="43" t="n"/>
      <c r="H14" s="45" t="n"/>
      <c r="I14" s="48" t="n"/>
    </row>
    <row r="15" ht="16.95" customFormat="1" customHeight="1" s="9">
      <c r="D15" s="1" t="n"/>
      <c r="H15" s="45" t="n"/>
      <c r="I15" s="48" t="n"/>
    </row>
    <row r="16" ht="16.95" customFormat="1" customHeight="1" s="9">
      <c r="D16" s="1" t="n"/>
      <c r="H16" s="45" t="n"/>
      <c r="I16" s="48" t="n"/>
    </row>
    <row r="17" ht="16.95" customFormat="1" customHeight="1" s="9">
      <c r="D17" s="1" t="n"/>
      <c r="H17" s="45" t="n"/>
      <c r="I17" s="48" t="n"/>
    </row>
    <row r="18" ht="16.95" customFormat="1" customHeight="1" s="9">
      <c r="D18" s="1" t="n"/>
      <c r="H18" s="45" t="n"/>
      <c r="I18" s="48" t="n"/>
    </row>
    <row r="19" ht="16.95" customFormat="1" customHeight="1" s="9">
      <c r="D19" s="1" t="n"/>
      <c r="H19" s="45" t="n"/>
      <c r="I19" s="48" t="n"/>
    </row>
    <row r="20" ht="16.95" customFormat="1" customHeight="1" s="9">
      <c r="D20" s="1" t="n"/>
      <c r="H20" s="45" t="n"/>
      <c r="I20" s="48" t="n"/>
    </row>
    <row r="21" ht="16.95" customFormat="1" customHeight="1" s="9">
      <c r="D21" s="1" t="n"/>
      <c r="H21" s="45" t="n"/>
      <c r="I21" s="48" t="n"/>
    </row>
    <row r="22" ht="16.95" customHeight="1">
      <c r="H22" s="46" t="n"/>
      <c r="I22" s="49" t="n"/>
    </row>
    <row r="23" ht="14.4" customHeight="1">
      <c r="H23" s="46" t="n"/>
      <c r="I23" s="49" t="n"/>
    </row>
  </sheetData>
  <mergeCells count="6">
    <mergeCell ref="B1:D1"/>
    <mergeCell ref="H3:H13"/>
    <mergeCell ref="G1:G2"/>
    <mergeCell ref="E1:E2"/>
    <mergeCell ref="F1:F2"/>
    <mergeCell ref="A1: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G2" sqref="G2"/>
    </sheetView>
  </sheetViews>
  <sheetFormatPr baseColWidth="8" defaultColWidth="8.796875" defaultRowHeight="13.8"/>
  <cols>
    <col width="9.296875" customWidth="1" min="2" max="2"/>
    <col width="13.796875" customWidth="1" min="3" max="3"/>
    <col width="12.296875" customWidth="1" min="4" max="4"/>
    <col width="24.5" customWidth="1" min="5" max="5"/>
    <col width="10.796875" customWidth="1" min="6" max="6"/>
    <col width="24.19921875" customWidth="1" min="7" max="7"/>
    <col width="10.5" customWidth="1" min="8" max="8"/>
    <col width="12.296875" customWidth="1" style="10" min="9" max="9"/>
    <col width="13.69921875" customWidth="1" min="10" max="10"/>
  </cols>
  <sheetData>
    <row r="1" ht="66" customHeight="1">
      <c r="A1" s="11" t="n"/>
      <c r="B1" s="12" t="inlineStr">
        <is>
          <t>STT</t>
        </is>
      </c>
      <c r="C1" s="12" t="inlineStr">
        <is>
          <t>ngày tháng</t>
        </is>
      </c>
      <c r="D1" s="12" t="inlineStr">
        <is>
          <t>Tên máy</t>
        </is>
      </c>
      <c r="E1" s="288" t="inlineStr">
        <is>
          <t>TRUNG CHUYỂN MÁY</t>
        </is>
      </c>
      <c r="F1" s="351" t="n"/>
      <c r="G1" s="352" t="n"/>
      <c r="H1" s="14" t="inlineStr">
        <is>
          <t>số lần chuyển</t>
        </is>
      </c>
      <c r="I1" s="28" t="inlineStr">
        <is>
          <t>số lần tháo 
và lắp máy</t>
        </is>
      </c>
      <c r="J1" s="12" t="inlineStr">
        <is>
          <t>ghi chú</t>
        </is>
      </c>
    </row>
    <row r="2" ht="24" customFormat="1" customHeight="1" s="9">
      <c r="A2" s="15" t="n"/>
      <c r="B2" s="16" t="n">
        <v>1</v>
      </c>
      <c r="C2" s="17" t="n">
        <v>46042</v>
      </c>
      <c r="D2" s="16" t="inlineStr">
        <is>
          <t>JVY420</t>
        </is>
      </c>
      <c r="E2" s="18" t="inlineStr">
        <is>
          <t>KCN THĂNG LONG</t>
        </is>
      </c>
      <c r="F2" s="19" t="n"/>
      <c r="G2" s="20" t="inlineStr">
        <is>
          <t>HÀ NAM</t>
        </is>
      </c>
      <c r="H2" s="21" t="n">
        <v>1</v>
      </c>
      <c r="I2" s="358" t="n">
        <v>2</v>
      </c>
      <c r="J2" s="359" t="n"/>
    </row>
    <row r="3" ht="24" customHeight="1">
      <c r="A3" s="11" t="n"/>
      <c r="B3" s="12" t="n">
        <v>2</v>
      </c>
      <c r="C3" s="22" t="n"/>
      <c r="D3" s="12" t="n"/>
      <c r="E3" s="288" t="n"/>
      <c r="F3" s="23" t="n"/>
      <c r="G3" s="24" t="n"/>
      <c r="H3" s="14" t="n"/>
      <c r="I3" s="360" t="n"/>
      <c r="J3" s="361" t="n"/>
    </row>
    <row r="4" ht="24" customHeight="1">
      <c r="A4" s="11" t="n"/>
      <c r="B4" s="12" t="n">
        <v>3</v>
      </c>
      <c r="C4" s="22" t="n"/>
      <c r="D4" s="12" t="n"/>
      <c r="E4" s="288" t="n"/>
      <c r="F4" s="23" t="n"/>
      <c r="G4" s="24" t="n"/>
      <c r="H4" s="14" t="n"/>
      <c r="I4" s="360" t="n"/>
      <c r="J4" s="361" t="n"/>
    </row>
    <row r="5" ht="24" customHeight="1">
      <c r="A5" s="11" t="n"/>
      <c r="B5" s="12" t="n">
        <v>4</v>
      </c>
      <c r="C5" s="22" t="n"/>
      <c r="D5" s="12" t="n"/>
      <c r="E5" s="24" t="n"/>
      <c r="F5" s="23" t="n"/>
      <c r="G5" s="24" t="n"/>
      <c r="H5" s="14" t="n"/>
      <c r="I5" s="360" t="n"/>
      <c r="J5" s="361" t="n"/>
    </row>
    <row r="6" ht="48" customHeight="1">
      <c r="A6" s="25" t="n"/>
      <c r="B6" s="26" t="n"/>
      <c r="C6" s="26" t="n"/>
      <c r="D6" s="289" t="inlineStr">
        <is>
          <t>Tổng số lần chuyển máy</t>
        </is>
      </c>
      <c r="E6" s="351" t="n"/>
      <c r="F6" s="351" t="n"/>
      <c r="G6" s="351" t="n"/>
      <c r="H6" s="27">
        <f>SUM(H2:H5)</f>
        <v/>
      </c>
      <c r="I6" s="362">
        <f>SUM(I2:I5)</f>
        <v/>
      </c>
      <c r="J6" s="363">
        <f>SUM(J2:J5)</f>
        <v/>
      </c>
    </row>
  </sheetData>
  <mergeCells count="2">
    <mergeCell ref="D6:G6"/>
    <mergeCell ref="E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zoomScale="90" zoomScaleNormal="90" workbookViewId="0">
      <pane ySplit="2" topLeftCell="A3" activePane="bottomLeft" state="frozen"/>
      <selection pane="bottomLeft" activeCell="A3" sqref="A3:G7"/>
    </sheetView>
  </sheetViews>
  <sheetFormatPr baseColWidth="8" defaultColWidth="8.69921875" defaultRowHeight="13.8"/>
  <cols>
    <col width="15.3984375" customWidth="1" min="1" max="1"/>
    <col width="11.796875" customWidth="1" style="1" min="2" max="2"/>
    <col width="37.3984375" customWidth="1" min="3" max="3"/>
    <col width="28.8984375" customWidth="1" style="1" min="4" max="4"/>
    <col width="24.3984375" customWidth="1" style="1" min="5" max="5"/>
    <col width="10.5" customWidth="1" style="1" min="6" max="6"/>
    <col width="22.296875" customWidth="1" style="1" min="7" max="7"/>
  </cols>
  <sheetData>
    <row r="1" ht="22.95" customHeight="1">
      <c r="A1" s="364" t="inlineStr">
        <is>
          <t>ngày , tháng</t>
        </is>
      </c>
      <c r="B1" s="364" t="inlineStr">
        <is>
          <t>người sửa</t>
        </is>
      </c>
      <c r="C1" s="364" t="inlineStr">
        <is>
          <t>nội dung sửa chữa, bảo dưỡng</t>
        </is>
      </c>
      <c r="D1" s="365" t="inlineStr">
        <is>
          <t>Vật tư sửa chữa</t>
        </is>
      </c>
      <c r="E1" s="320" t="n"/>
      <c r="F1" s="364" t="inlineStr">
        <is>
          <t>số lượng</t>
        </is>
      </c>
      <c r="G1" s="364" t="inlineStr">
        <is>
          <t>tên dự án</t>
        </is>
      </c>
      <c r="H1" s="2" t="n"/>
    </row>
    <row r="2" ht="21" customHeight="1">
      <c r="A2" s="335" t="n"/>
      <c r="B2" s="335" t="n"/>
      <c r="C2" s="335" t="n"/>
      <c r="D2" s="3" t="inlineStr">
        <is>
          <t>Vật tư kỹ thuật mua</t>
        </is>
      </c>
      <c r="E2" s="3" t="inlineStr">
        <is>
          <t>Vật tư công công ty cấp</t>
        </is>
      </c>
      <c r="F2" s="335" t="n"/>
      <c r="G2" s="335" t="n"/>
      <c r="H2" s="2" t="n"/>
    </row>
    <row r="3" ht="16.95" customHeight="1">
      <c r="A3" s="4" t="n"/>
      <c r="B3" s="5" t="n"/>
      <c r="C3" s="6" t="n"/>
      <c r="D3" s="7" t="n"/>
      <c r="E3" s="7" t="n"/>
      <c r="F3" s="5" t="n"/>
      <c r="G3" s="5" t="n"/>
      <c r="H3" s="2" t="n"/>
    </row>
    <row r="4" ht="16.95" customHeight="1">
      <c r="A4" s="4" t="n"/>
      <c r="B4" s="5" t="n"/>
      <c r="C4" s="6" t="n"/>
      <c r="D4" s="7" t="n"/>
      <c r="E4" s="7" t="n"/>
      <c r="F4" s="5" t="n"/>
      <c r="G4" s="5" t="n"/>
      <c r="H4" s="2" t="n"/>
    </row>
    <row r="5" ht="16.95" customHeight="1">
      <c r="A5" s="4" t="n"/>
      <c r="B5" s="5" t="n"/>
      <c r="C5" s="6" t="n"/>
      <c r="D5" s="7" t="n"/>
      <c r="E5" s="7" t="n"/>
      <c r="F5" s="5" t="n"/>
      <c r="G5" s="5" t="n"/>
      <c r="H5" s="2" t="n"/>
    </row>
    <row r="6" ht="16.95" customHeight="1">
      <c r="A6" s="4" t="n"/>
      <c r="B6" s="5" t="n"/>
      <c r="C6" s="6" t="n"/>
      <c r="D6" s="7" t="n"/>
      <c r="E6" s="7" t="n"/>
      <c r="F6" s="5" t="n"/>
      <c r="G6" s="5" t="n"/>
      <c r="H6" s="2" t="n"/>
    </row>
    <row r="7" ht="16.95" customHeight="1">
      <c r="A7" s="8" t="n"/>
      <c r="B7" s="5" t="n"/>
      <c r="C7" s="6" t="n"/>
      <c r="D7" s="7" t="n"/>
      <c r="E7" s="7" t="n"/>
      <c r="F7" s="5" t="n"/>
      <c r="G7" s="5" t="n"/>
      <c r="H7" s="2" t="n"/>
    </row>
    <row r="8" ht="16.95" customHeight="1">
      <c r="A8" s="8" t="n"/>
      <c r="B8" s="5" t="n"/>
      <c r="C8" s="6" t="n"/>
      <c r="D8" s="7" t="n"/>
      <c r="E8" s="7" t="n"/>
      <c r="F8" s="5" t="n"/>
      <c r="G8" s="5" t="n"/>
      <c r="H8" s="2" t="n"/>
    </row>
    <row r="9" ht="16.95" customHeight="1">
      <c r="H9" s="2" t="n"/>
    </row>
    <row r="10" ht="16.95" customHeight="1">
      <c r="H10" s="2" t="n"/>
    </row>
    <row r="11" ht="16.95" customHeight="1">
      <c r="H11" s="2" t="n"/>
    </row>
    <row r="12" ht="16.95" customHeight="1">
      <c r="H12" s="2" t="n"/>
    </row>
    <row r="13" ht="16.95" customHeight="1">
      <c r="H13" s="2" t="n"/>
    </row>
  </sheetData>
  <mergeCells count="6">
    <mergeCell ref="D1:E1"/>
    <mergeCell ref="C1:C2"/>
    <mergeCell ref="B1:B2"/>
    <mergeCell ref="G1:G2"/>
    <mergeCell ref="F1:F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84337073456</dc:creator>
  <dcterms:created xsi:type="dcterms:W3CDTF">2022-03-11T13:22:00Z</dcterms:created>
  <dcterms:modified xsi:type="dcterms:W3CDTF">2026-05-24T13:55:30Z</dcterms:modified>
  <cp:lastModifiedBy>Hưng Trần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776E532018DA41C4A9429CF765CF99C6</vt:lpwstr>
  </property>
  <property name="KSOProductBuildVer" fmtid="{D5CDD505-2E9C-101B-9397-08002B2CF9AE}" pid="3">
    <vt:lpwstr>1033-12.2.0.22222</vt:lpwstr>
  </property>
</Properties>
</file>