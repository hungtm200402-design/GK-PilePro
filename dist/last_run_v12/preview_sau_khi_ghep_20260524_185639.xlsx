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7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2026-05-23</t>
        </is>
      </c>
      <c r="C59" s="7" t="inlineStr">
        <is>
          <t>XC11312605230007</t>
        </is>
      </c>
      <c r="D59" s="8" t="inlineStr"/>
      <c r="E59" s="8" t="n">
        <v>7</v>
      </c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>
        <is>
          <t>15H-06113</t>
        </is>
      </c>
      <c r="Q59" s="8">
        <f>D59*5+E59*6+F59*7+G59*8+H59*9+I59*10+J59*11+K59*12+L59*13+M59*14+N59*15</f>
        <v/>
      </c>
      <c r="R59" s="28" t="inlineStr"/>
      <c r="S59" s="34" t="n">
        <v>8102250098</v>
      </c>
    </row>
    <row r="60" ht="16.5" customHeight="1" s="51">
      <c r="A60" s="5" t="n">
        <v>53</v>
      </c>
      <c r="B60" s="9" t="inlineStr">
        <is>
          <t>2026-05-23</t>
        </is>
      </c>
      <c r="C60" s="7" t="inlineStr">
        <is>
          <t>XC11312605230007</t>
        </is>
      </c>
      <c r="D60" s="8" t="inlineStr"/>
      <c r="E60" s="8" t="inlineStr"/>
      <c r="F60" s="8" t="inlineStr"/>
      <c r="G60" s="8" t="inlineStr"/>
      <c r="H60" s="8" t="n">
        <v>7</v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>
        <is>
          <t>15H-06113</t>
        </is>
      </c>
      <c r="Q60" s="8">
        <f>D60*5+E60*6+F60*7+G60*8+H60*9+I60*10+J60*11+K60*12+L60*13+M60*14+N60*15</f>
        <v/>
      </c>
      <c r="R60" s="28" t="inlineStr"/>
      <c r="S60" s="34" t="n">
        <v>8102250098</v>
      </c>
    </row>
    <row r="61" ht="16.5" customHeight="1" s="51">
      <c r="A61" s="5" t="n">
        <v>54</v>
      </c>
      <c r="B61" s="9" t="inlineStr">
        <is>
          <t>2026-05-23</t>
        </is>
      </c>
      <c r="C61" s="7" t="inlineStr">
        <is>
          <t>XC11312605230007</t>
        </is>
      </c>
      <c r="D61" s="8" t="inlineStr"/>
      <c r="E61" s="8" t="inlineStr"/>
      <c r="F61" s="8" t="inlineStr"/>
      <c r="G61" s="8" t="inlineStr"/>
      <c r="H61" s="8" t="inlineStr"/>
      <c r="I61" s="8" t="n">
        <v>10</v>
      </c>
      <c r="J61" s="8" t="inlineStr"/>
      <c r="K61" s="8" t="inlineStr"/>
      <c r="L61" s="8" t="inlineStr"/>
      <c r="M61" s="8" t="inlineStr"/>
      <c r="N61" s="8" t="inlineStr"/>
      <c r="O61" s="8" t="inlineStr"/>
      <c r="P61" s="8" t="inlineStr">
        <is>
          <t>15H-06113</t>
        </is>
      </c>
      <c r="Q61" s="8">
        <f>D61*5+E61*6+F61*7+G61*8+H61*9+I61*10+J61*11+K61*12+L61*13+M61*14+N61*15</f>
        <v/>
      </c>
      <c r="R61" s="28" t="inlineStr"/>
      <c r="S61" s="34" t="n">
        <v>8102250098</v>
      </c>
    </row>
    <row r="62" ht="16.5" customHeight="1" s="51">
      <c r="A62" s="5" t="n">
        <v>55</v>
      </c>
      <c r="B62" s="9" t="inlineStr">
        <is>
          <t>2026-05-23</t>
        </is>
      </c>
      <c r="C62" s="7" t="inlineStr">
        <is>
          <t>XC11312605230007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n">
        <v>6</v>
      </c>
      <c r="K62" s="8" t="inlineStr"/>
      <c r="L62" s="8" t="inlineStr"/>
      <c r="M62" s="8" t="inlineStr"/>
      <c r="N62" s="8" t="inlineStr"/>
      <c r="O62" s="8" t="inlineStr"/>
      <c r="P62" s="8" t="inlineStr">
        <is>
          <t>15H-06113</t>
        </is>
      </c>
      <c r="Q62" s="8">
        <f>D62*5+E62*6+F62*7+G62*8+H62*9+I62*10+J62*11+K62*12+L62*13+M62*14+N62*15</f>
        <v/>
      </c>
      <c r="R62" s="28" t="inlineStr"/>
      <c r="S62" s="34" t="n">
        <v>8102250098</v>
      </c>
    </row>
    <row r="63" ht="16.5" customHeight="1" s="51">
      <c r="A63" s="5" t="n">
        <v>56</v>
      </c>
      <c r="B63" s="9" t="inlineStr">
        <is>
          <t>2026-05-23</t>
        </is>
      </c>
      <c r="C63" s="7" t="inlineStr">
        <is>
          <t>XC11312605230007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n">
        <v>6</v>
      </c>
      <c r="L63" s="8" t="inlineStr"/>
      <c r="M63" s="8" t="inlineStr"/>
      <c r="N63" s="8" t="inlineStr"/>
      <c r="O63" s="8" t="inlineStr"/>
      <c r="P63" s="8" t="inlineStr">
        <is>
          <t>15H-06113</t>
        </is>
      </c>
      <c r="Q63" s="8">
        <f>D63*5+E63*6+F63*7+G63*8+H63*9+I63*10+J63*11+K63*12+L63*13+M63*14+N63*15</f>
        <v/>
      </c>
      <c r="R63" s="28" t="inlineStr"/>
      <c r="S63" s="34" t="n">
        <v>8102250098</v>
      </c>
    </row>
    <row r="64" ht="16.5" customHeight="1" s="51">
      <c r="A64" s="5" t="n">
        <v>57</v>
      </c>
      <c r="B64" s="9" t="inlineStr">
        <is>
          <t>2026-05-23</t>
        </is>
      </c>
      <c r="C64" s="7" t="inlineStr">
        <is>
          <t>XC11312605230007</t>
        </is>
      </c>
      <c r="D64" s="8" t="inlineStr"/>
      <c r="E64" s="8" t="n">
        <v>7</v>
      </c>
      <c r="F64" s="8" t="inlineStr"/>
      <c r="G64" s="8" t="inlineStr"/>
      <c r="H64" s="8" t="n">
        <v>6</v>
      </c>
      <c r="I64" s="8" t="n">
        <v>10</v>
      </c>
      <c r="J64" s="8" t="n">
        <v>6</v>
      </c>
      <c r="K64" s="8" t="n">
        <v>6</v>
      </c>
      <c r="L64" s="8" t="inlineStr"/>
      <c r="M64" s="8" t="inlineStr"/>
      <c r="N64" s="8" t="inlineStr"/>
      <c r="O64" s="8" t="inlineStr"/>
      <c r="P64" s="8" t="inlineStr">
        <is>
          <t>15H-06113</t>
        </is>
      </c>
      <c r="Q64" s="8">
        <f>D64*5+E64*6+F64*7+G64*8+H64*9+I64*10+J64*11+K64*12+L64*13+M64*14+N64*15</f>
        <v/>
      </c>
      <c r="R64" s="28" t="inlineStr"/>
      <c r="S64" s="34" t="n">
        <v>8102250098</v>
      </c>
    </row>
    <row r="65" ht="16.5" customHeight="1" s="51">
      <c r="A65" s="5" t="n">
        <v>58</v>
      </c>
      <c r="B65" s="9" t="inlineStr">
        <is>
          <t>2026-05-23</t>
        </is>
      </c>
      <c r="C65" s="7" t="inlineStr">
        <is>
          <t>XC11312605230009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n">
        <v>35</v>
      </c>
      <c r="L65" s="8" t="inlineStr"/>
      <c r="M65" s="8" t="inlineStr"/>
      <c r="N65" s="8" t="inlineStr"/>
      <c r="O65" s="8" t="inlineStr"/>
      <c r="P65" s="8" t="inlineStr">
        <is>
          <t>15H-05829</t>
        </is>
      </c>
      <c r="Q65" s="8">
        <f>D65*5+E65*6+F65*7+G65*8+H65*9+I65*10+J65*11+K65*12+L65*13+M65*14+N65*15</f>
        <v/>
      </c>
      <c r="R65" s="28" t="inlineStr"/>
      <c r="S65" s="34" t="n">
        <v>8102250098</v>
      </c>
    </row>
    <row r="66" ht="15.6" customHeight="1" s="51">
      <c r="A66" s="48" t="inlineStr">
        <is>
          <t>KL CỌC NHẬP VỀ</t>
        </is>
      </c>
      <c r="B66" s="40" t="n"/>
      <c r="C66" s="41" t="n"/>
      <c r="D66" s="10">
        <f>SUM(D7:D65)</f>
        <v/>
      </c>
      <c r="E66" s="10">
        <f>SUM(E7:E65)</f>
        <v/>
      </c>
      <c r="F66" s="10">
        <f>SUM(F7:F65)</f>
        <v/>
      </c>
      <c r="G66" s="10">
        <f>SUM(G7:G65)</f>
        <v/>
      </c>
      <c r="H66" s="10">
        <f>SUM(H7:H65)</f>
        <v/>
      </c>
      <c r="I66" s="10">
        <f>SUM(I7:I65)</f>
        <v/>
      </c>
      <c r="J66" s="10">
        <f>SUM(J7:J65)</f>
        <v/>
      </c>
      <c r="K66" s="10">
        <f>SUM(K7:K65)</f>
        <v/>
      </c>
      <c r="L66" s="10">
        <f>SUM(L7:L65)</f>
        <v/>
      </c>
      <c r="M66" s="10">
        <f>SUM(M7:M65)</f>
        <v/>
      </c>
      <c r="N66" s="11">
        <f>SUM(N7:N65)</f>
        <v/>
      </c>
      <c r="O66" s="10">
        <f>SUM(O7:O65)</f>
        <v/>
      </c>
      <c r="P66" s="12" t="n"/>
      <c r="Q66" s="12">
        <f>SUM(Q7:Q65)</f>
        <v/>
      </c>
      <c r="R66" s="13" t="n"/>
      <c r="S66" s="13" t="n"/>
    </row>
    <row r="67" ht="15.6" customHeight="1" s="51">
      <c r="B67" s="52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6" t="n"/>
      <c r="P67" s="15" t="n"/>
      <c r="Q67" s="15" t="n"/>
      <c r="R67" s="17" t="n"/>
    </row>
    <row r="68" ht="15.6" customHeight="1" s="51">
      <c r="A68" s="47" t="inlineStr">
        <is>
          <t>ĐẠI DIỆN BÊN A</t>
        </is>
      </c>
      <c r="K68" s="47" t="inlineStr">
        <is>
          <t>ĐẠI DIỆN BÊN B</t>
        </is>
      </c>
      <c r="S68" s="47" t="n"/>
    </row>
    <row r="69" ht="15.6" customHeight="1" s="51">
      <c r="B69" s="52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43" t="n"/>
      <c r="P69" s="18" t="n"/>
      <c r="Q69" s="15" t="n"/>
      <c r="R69" s="17" t="n"/>
    </row>
    <row r="70" ht="15.6" customHeight="1" s="51">
      <c r="B70" s="52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2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17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17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17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17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17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17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20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20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20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20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17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17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17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17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21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17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17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21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17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17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21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21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17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17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17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17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21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6" t="n"/>
      <c r="P133" s="15" t="n"/>
      <c r="Q133" s="15" t="n"/>
      <c r="R133" s="21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 t="n"/>
      <c r="P134" s="15" t="n"/>
      <c r="Q134" s="15" t="n"/>
      <c r="R134" s="21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6" t="n"/>
      <c r="P135" s="15" t="n"/>
      <c r="Q135" s="15" t="n"/>
      <c r="R135" s="21" t="n"/>
    </row>
    <row r="136" ht="15.6" customHeight="1" s="51">
      <c r="B136" s="53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6" t="n"/>
      <c r="P136" s="15" t="n"/>
      <c r="Q136" s="15" t="n"/>
      <c r="R136" s="21" t="n"/>
    </row>
    <row r="137" ht="15.6" customHeight="1" s="51">
      <c r="B137" s="53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6" t="n"/>
      <c r="P137" s="15" t="n"/>
      <c r="Q137" s="15" t="n"/>
      <c r="R137" s="21" t="n"/>
    </row>
    <row r="138" ht="15.6" customHeight="1" s="51">
      <c r="B138" s="53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6" t="n"/>
      <c r="P138" s="15" t="n"/>
      <c r="Q138" s="15" t="n"/>
      <c r="R138" s="17" t="n"/>
    </row>
    <row r="139" ht="15.6" customHeight="1" s="51">
      <c r="B139" s="53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54" t="n"/>
    </row>
    <row r="140" ht="15.6" customHeight="1" s="51">
      <c r="B140" s="53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7" t="n"/>
    </row>
    <row r="141">
      <c r="B141" s="53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55" t="n"/>
    </row>
    <row r="142"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16" t="n"/>
      <c r="P142" s="24" t="n"/>
      <c r="Q142" s="24" t="n"/>
      <c r="R142" s="17" t="n"/>
    </row>
    <row r="143"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16" t="n"/>
      <c r="P143" s="24" t="n"/>
      <c r="Q143" s="24" t="n"/>
      <c r="R143" s="17" t="n"/>
    </row>
    <row r="144"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16" t="n"/>
      <c r="P144" s="24" t="n"/>
      <c r="Q144" s="24" t="n"/>
      <c r="R144" s="17" t="n"/>
    </row>
    <row r="145"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16" t="n"/>
      <c r="P145" s="24" t="n"/>
      <c r="Q145" s="24" t="n"/>
      <c r="R145" s="17" t="n"/>
    </row>
    <row r="146"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16" t="n"/>
      <c r="P146" s="24" t="n"/>
      <c r="Q146" s="24" t="n"/>
      <c r="R146" s="17" t="n"/>
    </row>
    <row r="147"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16" t="n"/>
      <c r="P147" s="24" t="n"/>
      <c r="Q147" s="24" t="n"/>
      <c r="R147" s="17" t="n"/>
    </row>
  </sheetData>
  <autoFilter ref="A6:R59"/>
  <mergeCells count="14">
    <mergeCell ref="A66:C66"/>
    <mergeCell ref="R4:R6"/>
    <mergeCell ref="P4:P6"/>
    <mergeCell ref="O4:O6"/>
    <mergeCell ref="A4:A6"/>
    <mergeCell ref="K68:R68"/>
    <mergeCell ref="S4:S6"/>
    <mergeCell ref="Q4:Q6"/>
    <mergeCell ref="B4:B6"/>
    <mergeCell ref="D5:N5"/>
    <mergeCell ref="D4:N4"/>
    <mergeCell ref="A1:R3"/>
    <mergeCell ref="C4:C6"/>
    <mergeCell ref="A68:J68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2026-05-24T11:56:39Z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